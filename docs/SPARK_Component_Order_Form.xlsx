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aradhya\Downloads\"/>
    </mc:Choice>
  </mc:AlternateContent>
  <xr:revisionPtr revIDLastSave="0" documentId="13_ncr:1_{64ADE799-E00E-40C0-B8F8-5D61FCD7880E}" xr6:coauthVersionLast="36" xr6:coauthVersionMax="36" xr10:uidLastSave="{00000000-0000-0000-0000-000000000000}"/>
  <bookViews>
    <workbookView xWindow="0" yWindow="0" windowWidth="21600" windowHeight="10013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J14" i="1" l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J6" i="1"/>
  <c r="F6" i="1"/>
  <c r="J5" i="1"/>
  <c r="J15" i="1" s="1"/>
  <c r="F5" i="1"/>
  <c r="F15" i="1" s="1"/>
</calcChain>
</file>

<file path=xl/sharedStrings.xml><?xml version="1.0" encoding="utf-8"?>
<sst xmlns="http://schemas.openxmlformats.org/spreadsheetml/2006/main" count="41" uniqueCount="34">
  <si>
    <t>Project name: SPARK — Wearable Fall Detection System</t>
  </si>
  <si>
    <t>Components List</t>
  </si>
  <si>
    <t>TO ORDER</t>
  </si>
  <si>
    <t>S.N.</t>
  </si>
  <si>
    <t>Components with main features</t>
  </si>
  <si>
    <t>Quantity</t>
  </si>
  <si>
    <t>ISSUED</t>
  </si>
  <si>
    <t>Unit Cost</t>
  </si>
  <si>
    <t>Total Cost</t>
  </si>
  <si>
    <t>Availability</t>
  </si>
  <si>
    <t>ESP32-S3 (WROOM-1-CAM variant)</t>
  </si>
  <si>
    <t>Himalayan Solutions</t>
  </si>
  <si>
    <t>Members:</t>
  </si>
  <si>
    <t>MPU6050 IMU module</t>
  </si>
  <si>
    <t>Aaradhya Dev Tamrakar</t>
  </si>
  <si>
    <t>Lithium battery, 1100 mAh Li-ion/LiPo</t>
  </si>
  <si>
    <t>Giga Nepal</t>
  </si>
  <si>
    <t>Rupesh Kadel</t>
  </si>
  <si>
    <t>Charge/protection circuit (TP4056-class)</t>
  </si>
  <si>
    <t>SLT Pvt.Ltd</t>
  </si>
  <si>
    <t>Sankalpa Lamsal</t>
  </si>
  <si>
    <t>Velcro wrist strap</t>
  </si>
  <si>
    <t>RR-papers</t>
  </si>
  <si>
    <t>Sonia Thapa</t>
  </si>
  <si>
    <t>Compression arm sleeve (base layer, thumb-hole)</t>
  </si>
  <si>
    <t>Daraz — BLUE BELL Let's Slim</t>
  </si>
  <si>
    <t>Dipen Manandhar (Supervisor)</t>
  </si>
  <si>
    <t>Enclosure (3D-printed TPU, KEC Makerspace)</t>
  </si>
  <si>
    <t>KEC Makerspace</t>
  </si>
  <si>
    <t>USB-C cables</t>
  </si>
  <si>
    <t>Daraz</t>
  </si>
  <si>
    <t>Breadboard + jumper wires</t>
  </si>
  <si>
    <t>Resistor/capacitor assortment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</si>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</sst>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&quot;Times New Roman&quot;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&quot;Times New Roman&quot;"/>
    </font>
    <font>
      <b/>
      <sz val="14"/>
      <color rgb="FF000000"/>
      <name val="&quot;Times New Roman&quot;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5" zoomScaleNormal="85" workbookViewId="0">
      <selection activeCell="B14" sqref="B14"/>
    </sheetView>
  </sheetViews>
  <sheetFormatPr defaultRowHeight="14.25"/>
  <cols>
    <col min="1" max="1" width="5.06640625" style="1" customWidth="1"/>
    <col min="2" max="2" width="43.06640625" style="1" customWidth="1"/>
    <col min="3" max="3" width="8.1328125" style="1" customWidth="1"/>
    <col min="4" max="4" width="11.53125" style="1" customWidth="1"/>
    <col min="5" max="5" width="13.06640625" style="1" customWidth="1"/>
    <col min="6" max="6" width="8.73046875" style="1" customWidth="1"/>
    <col min="7" max="7" width="33.73046875" style="1" customWidth="1"/>
    <col min="8" max="8" width="8.1328125" style="1" bestFit="1" customWidth="1"/>
    <col min="9" max="9" width="8.9296875" style="1" bestFit="1" customWidth="1"/>
    <col min="10" max="10" width="8.796875" style="1" customWidth="1"/>
    <col min="11" max="11" width="9.06640625" style="1" customWidth="1"/>
    <col min="12" max="12" width="25.73046875" style="1" bestFit="1" customWidth="1"/>
    <col min="13" max="13" width="14.86328125" style="1" bestFit="1" customWidth="1"/>
    <col min="14" max="16" width="9.06640625" style="1" customWidth="1"/>
    <col min="17" max="16384" width="9.06640625" style="1"/>
  </cols>
  <sheetData>
    <row r="1" spans="1:14">
      <c r="A1" s="2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5"/>
      <c r="L1" s="5"/>
      <c r="M1" s="5"/>
    </row>
    <row r="2" spans="1:14">
      <c r="A2" s="29"/>
      <c r="B2" s="29"/>
      <c r="C2" s="29"/>
      <c r="D2" s="29"/>
      <c r="E2" s="29"/>
      <c r="F2" s="29"/>
      <c r="G2" s="29"/>
      <c r="H2" s="29"/>
      <c r="I2" s="29"/>
      <c r="J2" s="29"/>
      <c r="K2" s="5"/>
      <c r="L2" s="5"/>
      <c r="M2" s="5"/>
    </row>
    <row r="3" spans="1:14">
      <c r="A3" s="14"/>
      <c r="B3" s="22" t="s">
        <v>1</v>
      </c>
      <c r="C3" s="29"/>
      <c r="D3" s="29"/>
      <c r="E3" s="29"/>
      <c r="F3" s="29"/>
      <c r="G3" s="15"/>
      <c r="H3" s="24" t="s">
        <v>2</v>
      </c>
      <c r="I3" s="29"/>
      <c r="J3" s="29"/>
      <c r="K3" s="5"/>
      <c r="L3" s="5"/>
      <c r="M3" s="5"/>
    </row>
    <row r="4" spans="1:14" ht="26.25" customHeight="1">
      <c r="A4" s="14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5</v>
      </c>
      <c r="I4" s="17" t="s">
        <v>7</v>
      </c>
      <c r="J4" s="17" t="s">
        <v>8</v>
      </c>
      <c r="K4" s="5"/>
      <c r="L4" s="5"/>
      <c r="M4" s="5"/>
    </row>
    <row r="5" spans="1:14">
      <c r="A5" s="4">
        <v>1</v>
      </c>
      <c r="B5" s="8" t="s">
        <v>10</v>
      </c>
      <c r="C5" s="8"/>
      <c r="D5" s="8"/>
      <c r="E5" s="9"/>
      <c r="F5" s="9">
        <f t="shared" ref="F5:F14" si="0">C5*E5</f>
        <v>0</v>
      </c>
      <c r="G5" s="8" t="s">
        <v>11</v>
      </c>
      <c r="H5" s="8">
        <v>3</v>
      </c>
      <c r="I5" s="8">
        <v>1800</v>
      </c>
      <c r="J5" s="7">
        <f t="shared" ref="J5:J14" si="1">H5*I5</f>
        <v>5400</v>
      </c>
      <c r="K5" s="5"/>
      <c r="L5" s="23" t="s">
        <v>12</v>
      </c>
      <c r="M5" s="29"/>
      <c r="N5" s="3"/>
    </row>
    <row r="6" spans="1:14">
      <c r="A6" s="4">
        <v>2</v>
      </c>
      <c r="B6" s="10" t="s">
        <v>13</v>
      </c>
      <c r="C6" s="8"/>
      <c r="D6" s="8"/>
      <c r="E6" s="9"/>
      <c r="F6" s="9">
        <f t="shared" si="0"/>
        <v>0</v>
      </c>
      <c r="G6" s="8" t="s">
        <v>11</v>
      </c>
      <c r="H6" s="7">
        <v>1</v>
      </c>
      <c r="I6" s="7">
        <v>350</v>
      </c>
      <c r="J6" s="7">
        <f t="shared" si="1"/>
        <v>350</v>
      </c>
      <c r="K6" s="5"/>
      <c r="L6" s="13" t="s">
        <v>14</v>
      </c>
      <c r="M6" s="13">
        <v>9844602050</v>
      </c>
      <c r="N6" s="2"/>
    </row>
    <row r="7" spans="1:14">
      <c r="A7" s="4">
        <v>3</v>
      </c>
      <c r="B7" s="10" t="s">
        <v>15</v>
      </c>
      <c r="C7" s="8"/>
      <c r="D7" s="8"/>
      <c r="E7" s="9"/>
      <c r="F7" s="9">
        <f t="shared" si="0"/>
        <v>0</v>
      </c>
      <c r="G7" s="8" t="s">
        <v>16</v>
      </c>
      <c r="H7" s="7">
        <v>1</v>
      </c>
      <c r="I7" s="7">
        <v>550</v>
      </c>
      <c r="J7" s="7">
        <f t="shared" si="1"/>
        <v>550</v>
      </c>
      <c r="K7" s="5"/>
      <c r="L7" s="13" t="s">
        <v>17</v>
      </c>
      <c r="M7" s="13">
        <v>9845842901</v>
      </c>
      <c r="N7" s="2"/>
    </row>
    <row r="8" spans="1:14">
      <c r="A8" s="4">
        <v>4</v>
      </c>
      <c r="B8" s="10" t="s">
        <v>18</v>
      </c>
      <c r="C8" s="8"/>
      <c r="D8" s="8"/>
      <c r="E8" s="8"/>
      <c r="F8" s="8">
        <f t="shared" si="0"/>
        <v>0</v>
      </c>
      <c r="G8" s="8" t="s">
        <v>19</v>
      </c>
      <c r="H8" s="8">
        <v>1</v>
      </c>
      <c r="I8" s="8">
        <v>90</v>
      </c>
      <c r="J8" s="7">
        <f t="shared" si="1"/>
        <v>90</v>
      </c>
      <c r="K8" s="5"/>
      <c r="L8" s="13" t="s">
        <v>20</v>
      </c>
      <c r="M8" s="13">
        <v>9818912244</v>
      </c>
      <c r="N8" s="2"/>
    </row>
    <row r="9" spans="1:14">
      <c r="A9" s="4">
        <v>5</v>
      </c>
      <c r="B9" s="10" t="s">
        <v>21</v>
      </c>
      <c r="C9" s="8"/>
      <c r="D9" s="8"/>
      <c r="E9" s="9"/>
      <c r="F9" s="9">
        <f t="shared" si="0"/>
        <v>0</v>
      </c>
      <c r="G9" s="8" t="s">
        <v>22</v>
      </c>
      <c r="H9" s="8">
        <v>2</v>
      </c>
      <c r="I9" s="8">
        <v>500</v>
      </c>
      <c r="J9" s="7">
        <f t="shared" si="1"/>
        <v>1000</v>
      </c>
      <c r="K9" s="5"/>
      <c r="L9" s="13" t="s">
        <v>23</v>
      </c>
      <c r="M9" s="13">
        <v>9819137477</v>
      </c>
      <c r="N9" s="2"/>
    </row>
    <row r="10" spans="1:14">
      <c r="A10" s="4">
        <v>6</v>
      </c>
      <c r="B10" s="10" t="s">
        <v>24</v>
      </c>
      <c r="C10" s="8"/>
      <c r="D10" s="8"/>
      <c r="E10" s="9"/>
      <c r="F10" s="9">
        <f t="shared" si="0"/>
        <v>0</v>
      </c>
      <c r="G10" s="8" t="s">
        <v>25</v>
      </c>
      <c r="H10" s="7">
        <v>1</v>
      </c>
      <c r="I10" s="7">
        <v>136</v>
      </c>
      <c r="J10" s="7">
        <f t="shared" si="1"/>
        <v>136</v>
      </c>
      <c r="K10" s="5"/>
      <c r="L10" s="13" t="s">
        <v>26</v>
      </c>
      <c r="M10" s="7">
        <v>9841576746</v>
      </c>
    </row>
    <row r="11" spans="1:14">
      <c r="A11" s="4">
        <v>7</v>
      </c>
      <c r="B11" s="10" t="s">
        <v>27</v>
      </c>
      <c r="C11" s="8"/>
      <c r="D11" s="8"/>
      <c r="E11" s="8"/>
      <c r="F11" s="8">
        <f t="shared" si="0"/>
        <v>0</v>
      </c>
      <c r="G11" s="8" t="s">
        <v>28</v>
      </c>
      <c r="H11" s="8">
        <v>1</v>
      </c>
      <c r="I11" s="8">
        <v>160</v>
      </c>
      <c r="J11" s="7">
        <f t="shared" si="1"/>
        <v>160</v>
      </c>
      <c r="K11" s="5"/>
      <c r="L11" s="30"/>
      <c r="M11" s="30"/>
      <c r="N11" s="2"/>
    </row>
    <row r="12" spans="1:14">
      <c r="A12" s="4">
        <v>8</v>
      </c>
      <c r="B12" s="10" t="s">
        <v>29</v>
      </c>
      <c r="C12" s="8"/>
      <c r="D12" s="8"/>
      <c r="E12" s="9"/>
      <c r="F12" s="9">
        <f t="shared" si="0"/>
        <v>0</v>
      </c>
      <c r="G12" s="8" t="s">
        <v>30</v>
      </c>
      <c r="H12" s="7">
        <v>3</v>
      </c>
      <c r="I12" s="7">
        <v>267</v>
      </c>
      <c r="J12" s="7">
        <f t="shared" si="1"/>
        <v>801</v>
      </c>
      <c r="K12" s="5"/>
      <c r="L12" s="27"/>
      <c r="M12" s="31"/>
    </row>
    <row r="13" spans="1:14">
      <c r="A13" s="4">
        <v>9</v>
      </c>
      <c r="B13" s="16" t="s">
        <v>31</v>
      </c>
      <c r="C13" s="16"/>
      <c r="D13" s="16"/>
      <c r="E13" s="16"/>
      <c r="F13" s="16">
        <f t="shared" si="0"/>
        <v>0</v>
      </c>
      <c r="G13" s="16" t="s">
        <v>19</v>
      </c>
      <c r="H13" s="16">
        <v>2</v>
      </c>
      <c r="I13" s="16">
        <v>325</v>
      </c>
      <c r="J13" s="16">
        <f t="shared" si="1"/>
        <v>650</v>
      </c>
      <c r="K13" s="11"/>
      <c r="L13" s="11"/>
      <c r="M13" s="11"/>
    </row>
    <row r="14" spans="1:14">
      <c r="A14" s="4">
        <v>10</v>
      </c>
      <c r="B14" s="10" t="s">
        <v>32</v>
      </c>
      <c r="C14" s="8"/>
      <c r="D14" s="8"/>
      <c r="E14" s="9"/>
      <c r="F14" s="9">
        <f t="shared" si="0"/>
        <v>0</v>
      </c>
      <c r="G14" s="8" t="s">
        <v>11</v>
      </c>
      <c r="H14" s="8">
        <v>1</v>
      </c>
      <c r="I14" s="8">
        <v>600</v>
      </c>
      <c r="J14" s="7">
        <f t="shared" si="1"/>
        <v>600</v>
      </c>
      <c r="K14" s="5"/>
      <c r="L14" s="30"/>
      <c r="M14" s="30"/>
      <c r="N14" s="2"/>
    </row>
    <row r="15" spans="1:14">
      <c r="A15" s="4"/>
      <c r="B15" s="12"/>
      <c r="C15" s="16"/>
      <c r="D15" s="16"/>
      <c r="E15" s="16" t="s">
        <v>33</v>
      </c>
      <c r="F15" s="16">
        <f>SUM(F5:F14)</f>
        <v>0</v>
      </c>
      <c r="G15" s="16"/>
      <c r="H15" s="21" t="s">
        <v>33</v>
      </c>
      <c r="I15" s="29"/>
      <c r="J15" s="6">
        <f>SUM(J5:J14)</f>
        <v>9737</v>
      </c>
      <c r="K15" s="11"/>
      <c r="L15" s="11"/>
      <c r="M15" s="11"/>
    </row>
    <row r="16" spans="1:14">
      <c r="A16" s="25"/>
      <c r="B16" s="26"/>
      <c r="C16" s="26"/>
      <c r="D16" s="26"/>
      <c r="E16" s="26"/>
      <c r="F16" s="26"/>
      <c r="G16" s="27"/>
      <c r="H16" s="26"/>
      <c r="I16" s="26"/>
      <c r="J16" s="26"/>
      <c r="K16" s="11"/>
      <c r="L16" s="11"/>
      <c r="M16" s="11"/>
    </row>
    <row r="17" spans="1:13">
      <c r="A17" s="28"/>
      <c r="B17" s="26"/>
      <c r="C17" s="26"/>
      <c r="D17" s="26"/>
      <c r="E17" s="26"/>
      <c r="F17" s="26"/>
      <c r="G17" s="26"/>
      <c r="H17" s="26"/>
      <c r="I17" s="25"/>
      <c r="J17" s="26"/>
      <c r="K17" s="11"/>
      <c r="L17" s="11"/>
      <c r="M17" s="11"/>
    </row>
    <row r="18" spans="1:13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1"/>
      <c r="L18" s="11"/>
      <c r="M18" s="11"/>
    </row>
    <row r="19" spans="1:13">
      <c r="A19" s="18"/>
      <c r="B19" s="19"/>
      <c r="C19" s="19"/>
      <c r="K19" s="11"/>
      <c r="L19" s="11"/>
      <c r="M19" s="11"/>
    </row>
  </sheetData>
  <mergeCells count="5">
    <mergeCell ref="A1:J2"/>
    <mergeCell ref="H15:I15"/>
    <mergeCell ref="B3:F3"/>
    <mergeCell ref="L5:M5"/>
    <mergeCell ref="H3:J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Shrestha</dc:creator>
  <cp:lastModifiedBy>Aaradhya</cp:lastModifiedBy>
  <dcterms:created xsi:type="dcterms:W3CDTF">2026-08-03T10:29:55Z</dcterms:created>
  <dcterms:modified xsi:type="dcterms:W3CDTF">2026-08-10T10:43:15Z</dcterms:modified>
</cp:coreProperties>
</file>