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Price is legacy-proposal baseline, not vendor-requoted (tracker §2.6). Action #32 unresolved: confirm whether the Giga Nepal 1100mAh cell (sourced v34) is already a protected pack — if so, drop this line.</t>
        </r>
      </text>
    </comment>
    <comment ref="G11" authorId="0">
      <text>
        <r>
          <rPr>
            <sz val="10"/>
            <rFont val="Arial"/>
            <family val="2"/>
          </rPr>
          <t xml:space="preserve">NPR 90 (v38) — hand-computed two-zone geometric estimate from real forearm measurement (12cm/16cm arc, matches render's 75% wrap independently) + DI-01 component footprints, 2mm wall, TPU 1.21 g/cm3. Still NOT a CAD/slicer output — no model exists yet, blocked on Action #17. See tracker Action #36.</t>
        </r>
      </text>
    </comment>
    <comment ref="G13" authorId="0">
      <text>
        <r>
          <rPr>
            <sz val="10"/>
            <rFont val="Arial"/>
            <family val="2"/>
          </rPr>
          <t xml:space="preserve">Legacy-proposal baseline pricing, not re-quoted against a live vendor (tracker §2.6). "SLT Pvt.Ltd" isn't corroborated anywhere in tracker sourcing history — confirm before ordering.</t>
        </r>
      </text>
    </comment>
    <comment ref="G14" authorId="0">
      <text>
        <r>
          <rPr>
            <sz val="10"/>
            <rFont val="Arial"/>
            <family val="2"/>
          </rPr>
          <t xml:space="preserve">Legacy-proposal baseline pricing, not re-quoted against a live vendor (tracker §2.6). "SLT Pvt.Ltd" isn't corroborated anywhere in tracker sourcing history — confirm before ordering.</t>
        </r>
      </text>
    </comment>
  </commentList>
</comments>
</file>

<file path=xl/sharedStrings.xml><?xml version="1.0" encoding="utf-8"?>
<sst xmlns="http://schemas.openxmlformats.org/spreadsheetml/2006/main" count="41" uniqueCount="34">
  <si>
    <t xml:space="preserve">Project name: SPARK — Wearable Fall Detection System</t>
  </si>
  <si>
    <t xml:space="preserve">Components List</t>
  </si>
  <si>
    <t xml:space="preserve">TO ORDER</t>
  </si>
  <si>
    <t xml:space="preserve">S.N.</t>
  </si>
  <si>
    <t xml:space="preserve">Components with main features</t>
  </si>
  <si>
    <t xml:space="preserve">Quantity</t>
  </si>
  <si>
    <t xml:space="preserve">ISSUED</t>
  </si>
  <si>
    <t xml:space="preserve">Unit Cost</t>
  </si>
  <si>
    <t xml:space="preserve">Total Cost</t>
  </si>
  <si>
    <t xml:space="preserve">Availability</t>
  </si>
  <si>
    <t xml:space="preserve">ESP32-S3 (WROOM-1-CAM variant)</t>
  </si>
  <si>
    <t xml:space="preserve">Himalayan Solutions</t>
  </si>
  <si>
    <t xml:space="preserve">Members:</t>
  </si>
  <si>
    <t xml:space="preserve">MPU6050 IMU module</t>
  </si>
  <si>
    <t xml:space="preserve">Aaradhya Dev Tamrakar</t>
  </si>
  <si>
    <t xml:space="preserve">Lithium battery, 1100 mAh Li-ion/LiPo</t>
  </si>
  <si>
    <t xml:space="preserve">Giga Nepal</t>
  </si>
  <si>
    <t xml:space="preserve">Rupesh Kadel</t>
  </si>
  <si>
    <t xml:space="preserve">Charge/protection circuit (TP4056-class)</t>
  </si>
  <si>
    <t xml:space="preserve">SLT Pvt.Ltd</t>
  </si>
  <si>
    <t xml:space="preserve">Sankalpa Lamsal</t>
  </si>
  <si>
    <t xml:space="preserve">Velcro wrist strap</t>
  </si>
  <si>
    <t xml:space="preserve">RR-papers</t>
  </si>
  <si>
    <t xml:space="preserve">Sonia Thapa</t>
  </si>
  <si>
    <t xml:space="preserve">Compression arm sleeve (base layer, thumb-hole)</t>
  </si>
  <si>
    <t xml:space="preserve">Daraz — BLUE BELL Let's Slim</t>
  </si>
  <si>
    <t xml:space="preserve">Dipen Manandhar (Supervisor)</t>
  </si>
  <si>
    <t xml:space="preserve">Enclosure (3D-printed TPU, KEC Makerspace)</t>
  </si>
  <si>
    <t xml:space="preserve">KEC Makerspace</t>
  </si>
  <si>
    <t xml:space="preserve">USB-C cables</t>
  </si>
  <si>
    <t xml:space="preserve">Daraz</t>
  </si>
  <si>
    <t xml:space="preserve">Breadboard + jumper wires</t>
  </si>
  <si>
    <t xml:space="preserve">Resistor/capacitor assortment</t>
  </si>
  <si>
    <t xml:space="preserve">GRAND 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</si>
</sst>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&quot;Times New Roman&quot;"/>
      <family val="0"/>
      <charset val="1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0"/>
      <color rgb="FF000000"/>
      <name val="&quot;Times New Roman&quot;"/>
      <family val="0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Times New Roman&quot;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B14" activeCellId="0" sqref="B14"/>
    </sheetView>
  </sheetViews>
  <sheetFormatPr defaultColWidth="9.06640625" defaultRowHeight="14.25" zeroHeight="false" outlineLevelRow="0" outlineLevelCol="0"/>
  <cols>
    <col collapsed="false" customWidth="true" hidden="false" outlineLevel="0" max="1" min="1" style="1" width="5.06"/>
    <col collapsed="false" customWidth="true" hidden="false" outlineLevel="0" max="2" min="2" style="1" width="43.06"/>
    <col collapsed="false" customWidth="true" hidden="false" outlineLevel="0" max="3" min="3" style="1" width="8.15"/>
    <col collapsed="false" customWidth="true" hidden="false" outlineLevel="0" max="4" min="4" style="1" width="11.53"/>
    <col collapsed="false" customWidth="true" hidden="false" outlineLevel="0" max="5" min="5" style="1" width="13.06"/>
    <col collapsed="false" customWidth="true" hidden="false" outlineLevel="0" max="6" min="6" style="1" width="8.73"/>
    <col collapsed="false" customWidth="true" hidden="false" outlineLevel="0" max="7" min="7" style="1" width="33.73"/>
    <col collapsed="false" customWidth="true" hidden="false" outlineLevel="0" max="8" min="8" style="1" width="8.15"/>
    <col collapsed="false" customWidth="true" hidden="false" outlineLevel="0" max="9" min="9" style="1" width="8.93"/>
    <col collapsed="false" customWidth="true" hidden="false" outlineLevel="0" max="10" min="10" style="1" width="8.8"/>
    <col collapsed="false" customWidth="false" hidden="false" outlineLevel="0" max="11" min="11" style="1" width="9.06"/>
    <col collapsed="false" customWidth="true" hidden="false" outlineLevel="0" max="12" min="12" style="1" width="25.73"/>
    <col collapsed="false" customWidth="true" hidden="false" outlineLevel="0" max="13" min="13" style="1" width="14.86"/>
    <col collapsed="false" customWidth="false" hidden="false" outlineLevel="0" max="16384" min="14" style="1" width="9.06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3"/>
      <c r="M1" s="3"/>
    </row>
    <row r="2" customFormat="false" ht="14.2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3"/>
      <c r="L2" s="3"/>
      <c r="M2" s="3"/>
    </row>
    <row r="3" customFormat="false" ht="14.25" hidden="false" customHeight="true" outlineLevel="0" collapsed="false">
      <c r="A3" s="4"/>
      <c r="B3" s="5" t="s">
        <v>1</v>
      </c>
      <c r="C3" s="5"/>
      <c r="D3" s="5"/>
      <c r="E3" s="5"/>
      <c r="F3" s="5"/>
      <c r="G3" s="6"/>
      <c r="H3" s="7" t="s">
        <v>2</v>
      </c>
      <c r="I3" s="7"/>
      <c r="J3" s="7"/>
      <c r="K3" s="3"/>
      <c r="L3" s="3"/>
      <c r="M3" s="3"/>
    </row>
    <row r="4" customFormat="false" ht="26.25" hidden="false" customHeight="true" outlineLevel="0" collapsed="false">
      <c r="A4" s="4" t="s">
        <v>3</v>
      </c>
      <c r="B4" s="7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7" t="s">
        <v>5</v>
      </c>
      <c r="I4" s="7" t="s">
        <v>7</v>
      </c>
      <c r="J4" s="7" t="s">
        <v>8</v>
      </c>
      <c r="K4" s="3"/>
      <c r="L4" s="3"/>
      <c r="M4" s="3"/>
    </row>
    <row r="5" customFormat="false" ht="14.25" hidden="false" customHeight="true" outlineLevel="0" collapsed="false">
      <c r="A5" s="8" t="n">
        <v>1</v>
      </c>
      <c r="B5" s="9" t="s">
        <v>10</v>
      </c>
      <c r="C5" s="9"/>
      <c r="D5" s="9"/>
      <c r="E5" s="10"/>
      <c r="F5" s="10" t="n">
        <f aca="false">C5*E5</f>
        <v>0</v>
      </c>
      <c r="G5" s="9" t="s">
        <v>11</v>
      </c>
      <c r="H5" s="9" t="n">
        <v>3</v>
      </c>
      <c r="I5" s="9" t="n">
        <v>1800</v>
      </c>
      <c r="J5" s="11" t="n">
        <f aca="false">H5*I5</f>
        <v>5400</v>
      </c>
      <c r="K5" s="3"/>
      <c r="L5" s="12" t="s">
        <v>12</v>
      </c>
      <c r="M5" s="12"/>
      <c r="N5" s="13"/>
    </row>
    <row r="6" customFormat="false" ht="14.25" hidden="false" customHeight="true" outlineLevel="0" collapsed="false">
      <c r="A6" s="8" t="n">
        <v>2</v>
      </c>
      <c r="B6" s="14" t="s">
        <v>13</v>
      </c>
      <c r="C6" s="9"/>
      <c r="D6" s="9"/>
      <c r="E6" s="10"/>
      <c r="F6" s="10" t="n">
        <f aca="false">C6*E6</f>
        <v>0</v>
      </c>
      <c r="G6" s="9" t="s">
        <v>11</v>
      </c>
      <c r="H6" s="11" t="n">
        <v>1</v>
      </c>
      <c r="I6" s="11" t="n">
        <v>350</v>
      </c>
      <c r="J6" s="11" t="n">
        <f aca="false">H6*I6</f>
        <v>350</v>
      </c>
      <c r="K6" s="3"/>
      <c r="L6" s="15" t="s">
        <v>14</v>
      </c>
      <c r="M6" s="15" t="n">
        <v>9844602050</v>
      </c>
      <c r="N6" s="16"/>
    </row>
    <row r="7" customFormat="false" ht="14.25" hidden="false" customHeight="true" outlineLevel="0" collapsed="false">
      <c r="A7" s="8" t="n">
        <v>3</v>
      </c>
      <c r="B7" s="14" t="s">
        <v>15</v>
      </c>
      <c r="C7" s="9"/>
      <c r="D7" s="9"/>
      <c r="E7" s="10"/>
      <c r="F7" s="10" t="n">
        <f aca="false">C7*E7</f>
        <v>0</v>
      </c>
      <c r="G7" s="9" t="s">
        <v>16</v>
      </c>
      <c r="H7" s="11" t="n">
        <v>1</v>
      </c>
      <c r="I7" s="11" t="n">
        <v>550</v>
      </c>
      <c r="J7" s="11" t="n">
        <f aca="false">H7*I7</f>
        <v>550</v>
      </c>
      <c r="K7" s="3"/>
      <c r="L7" s="15" t="s">
        <v>17</v>
      </c>
      <c r="M7" s="15" t="n">
        <v>9845842901</v>
      </c>
      <c r="N7" s="16"/>
    </row>
    <row r="8" customFormat="false" ht="14.25" hidden="false" customHeight="true" outlineLevel="0" collapsed="false">
      <c r="A8" s="8" t="n">
        <v>4</v>
      </c>
      <c r="B8" s="14" t="s">
        <v>18</v>
      </c>
      <c r="C8" s="9"/>
      <c r="D8" s="9"/>
      <c r="E8" s="9"/>
      <c r="F8" s="9" t="n">
        <f aca="false">C8*E8</f>
        <v>0</v>
      </c>
      <c r="G8" s="9" t="s">
        <v>19</v>
      </c>
      <c r="H8" s="9" t="n">
        <v>1</v>
      </c>
      <c r="I8" s="9" t="n">
        <v>90</v>
      </c>
      <c r="J8" s="11" t="n">
        <f aca="false">H8*I8</f>
        <v>90</v>
      </c>
      <c r="K8" s="3"/>
      <c r="L8" s="15" t="s">
        <v>20</v>
      </c>
      <c r="M8" s="15" t="n">
        <v>9818912244</v>
      </c>
      <c r="N8" s="16"/>
    </row>
    <row r="9" customFormat="false" ht="14.25" hidden="false" customHeight="true" outlineLevel="0" collapsed="false">
      <c r="A9" s="8" t="n">
        <v>5</v>
      </c>
      <c r="B9" s="14" t="s">
        <v>21</v>
      </c>
      <c r="C9" s="9"/>
      <c r="D9" s="9"/>
      <c r="E9" s="10"/>
      <c r="F9" s="10" t="n">
        <f aca="false">C9*E9</f>
        <v>0</v>
      </c>
      <c r="G9" s="9" t="s">
        <v>22</v>
      </c>
      <c r="H9" s="9" t="n">
        <v>2</v>
      </c>
      <c r="I9" s="9" t="n">
        <v>500</v>
      </c>
      <c r="J9" s="11" t="n">
        <f aca="false">H9*I9</f>
        <v>1000</v>
      </c>
      <c r="K9" s="3"/>
      <c r="L9" s="15" t="s">
        <v>23</v>
      </c>
      <c r="M9" s="15" t="n">
        <v>9819137477</v>
      </c>
      <c r="N9" s="16"/>
    </row>
    <row r="10" customFormat="false" ht="14.25" hidden="false" customHeight="true" outlineLevel="0" collapsed="false">
      <c r="A10" s="8" t="n">
        <v>6</v>
      </c>
      <c r="B10" s="14" t="s">
        <v>24</v>
      </c>
      <c r="C10" s="9"/>
      <c r="D10" s="9"/>
      <c r="E10" s="10"/>
      <c r="F10" s="10" t="n">
        <f aca="false">C10*E10</f>
        <v>0</v>
      </c>
      <c r="G10" s="9" t="s">
        <v>25</v>
      </c>
      <c r="H10" s="11" t="n">
        <v>1</v>
      </c>
      <c r="I10" s="11" t="n">
        <v>136</v>
      </c>
      <c r="J10" s="11" t="n">
        <f aca="false">H10*I10</f>
        <v>136</v>
      </c>
      <c r="K10" s="3"/>
      <c r="L10" s="15" t="s">
        <v>26</v>
      </c>
      <c r="M10" s="11" t="n">
        <v>9841576746</v>
      </c>
    </row>
    <row r="11" customFormat="false" ht="14.25" hidden="false" customHeight="true" outlineLevel="0" collapsed="false">
      <c r="A11" s="8" t="n">
        <v>7</v>
      </c>
      <c r="B11" s="14" t="s">
        <v>27</v>
      </c>
      <c r="C11" s="9"/>
      <c r="D11" s="9"/>
      <c r="E11" s="9"/>
      <c r="F11" s="9" t="n">
        <f aca="false">C11*E11</f>
        <v>0</v>
      </c>
      <c r="G11" s="9" t="s">
        <v>28</v>
      </c>
      <c r="H11" s="9" t="n">
        <v>1</v>
      </c>
      <c r="I11" s="9" t="n">
        <v>90</v>
      </c>
      <c r="J11" s="11" t="n">
        <f aca="false">H11*I11</f>
        <v>90</v>
      </c>
      <c r="K11" s="3"/>
      <c r="L11" s="17"/>
      <c r="M11" s="17"/>
      <c r="N11" s="16"/>
    </row>
    <row r="12" customFormat="false" ht="14.25" hidden="false" customHeight="true" outlineLevel="0" collapsed="false">
      <c r="A12" s="8" t="n">
        <v>8</v>
      </c>
      <c r="B12" s="14" t="s">
        <v>29</v>
      </c>
      <c r="C12" s="9"/>
      <c r="D12" s="9"/>
      <c r="E12" s="10"/>
      <c r="F12" s="10" t="n">
        <f aca="false">C12*E12</f>
        <v>0</v>
      </c>
      <c r="G12" s="9" t="s">
        <v>30</v>
      </c>
      <c r="H12" s="11" t="n">
        <v>3</v>
      </c>
      <c r="I12" s="11" t="n">
        <v>267</v>
      </c>
      <c r="J12" s="11" t="n">
        <f aca="false">H12*I12</f>
        <v>801</v>
      </c>
      <c r="K12" s="3"/>
      <c r="L12" s="18"/>
      <c r="M12" s="3"/>
    </row>
    <row r="13" customFormat="false" ht="14.25" hidden="false" customHeight="true" outlineLevel="0" collapsed="false">
      <c r="A13" s="8" t="n">
        <v>9</v>
      </c>
      <c r="B13" s="19" t="s">
        <v>31</v>
      </c>
      <c r="C13" s="19"/>
      <c r="D13" s="19"/>
      <c r="E13" s="19"/>
      <c r="F13" s="19" t="n">
        <f aca="false">C13*E13</f>
        <v>0</v>
      </c>
      <c r="G13" s="19" t="s">
        <v>19</v>
      </c>
      <c r="H13" s="19" t="n">
        <v>2</v>
      </c>
      <c r="I13" s="19" t="n">
        <v>325</v>
      </c>
      <c r="J13" s="19" t="n">
        <f aca="false">H13*I13</f>
        <v>650</v>
      </c>
      <c r="K13" s="18"/>
      <c r="L13" s="18"/>
      <c r="M13" s="18"/>
    </row>
    <row r="14" customFormat="false" ht="14.25" hidden="false" customHeight="true" outlineLevel="0" collapsed="false">
      <c r="A14" s="8" t="n">
        <v>10</v>
      </c>
      <c r="B14" s="14" t="s">
        <v>32</v>
      </c>
      <c r="C14" s="9"/>
      <c r="D14" s="9"/>
      <c r="E14" s="10"/>
      <c r="F14" s="10" t="n">
        <f aca="false">C14*E14</f>
        <v>0</v>
      </c>
      <c r="G14" s="9" t="s">
        <v>11</v>
      </c>
      <c r="H14" s="9" t="n">
        <v>1</v>
      </c>
      <c r="I14" s="9" t="n">
        <v>600</v>
      </c>
      <c r="J14" s="11" t="n">
        <f aca="false">H14*I14</f>
        <v>600</v>
      </c>
      <c r="K14" s="3"/>
      <c r="L14" s="17"/>
      <c r="M14" s="17"/>
      <c r="N14" s="16"/>
    </row>
    <row r="15" customFormat="false" ht="14.25" hidden="false" customHeight="true" outlineLevel="0" collapsed="false">
      <c r="A15" s="8"/>
      <c r="B15" s="20"/>
      <c r="C15" s="19"/>
      <c r="D15" s="19"/>
      <c r="E15" s="19" t="s">
        <v>33</v>
      </c>
      <c r="F15" s="19" t="n">
        <f aca="false">SUM(F5:F14)</f>
        <v>0</v>
      </c>
      <c r="G15" s="19"/>
      <c r="H15" s="19" t="s">
        <v>33</v>
      </c>
      <c r="I15" s="19"/>
      <c r="J15" s="21" t="n">
        <f aca="false">SUM(J5:J14)</f>
        <v>9667</v>
      </c>
      <c r="K15" s="18"/>
      <c r="L15" s="18"/>
      <c r="M15" s="18"/>
    </row>
    <row r="16" customFormat="false" ht="14.25" hidden="false" customHeight="true" outlineLevel="0" collapsed="false">
      <c r="B16" s="22"/>
      <c r="C16" s="22"/>
      <c r="D16" s="22"/>
      <c r="E16" s="22"/>
      <c r="F16" s="22"/>
      <c r="G16" s="18"/>
      <c r="H16" s="22"/>
      <c r="I16" s="22"/>
      <c r="J16" s="22"/>
      <c r="K16" s="18"/>
      <c r="L16" s="18"/>
      <c r="M16" s="18"/>
    </row>
    <row r="17" customFormat="false" ht="14.25" hidden="false" customHeight="true" outlineLevel="0" collapsed="false">
      <c r="A17" s="23"/>
      <c r="B17" s="22"/>
      <c r="C17" s="22"/>
      <c r="D17" s="22"/>
      <c r="E17" s="22"/>
      <c r="F17" s="22"/>
      <c r="G17" s="22"/>
      <c r="H17" s="22"/>
      <c r="J17" s="22"/>
      <c r="K17" s="18"/>
      <c r="L17" s="18"/>
      <c r="M17" s="18"/>
    </row>
    <row r="18" customFormat="false" ht="14.25" hidden="false" customHeight="true" outlineLevel="0" collapsed="false">
      <c r="A18" s="23"/>
      <c r="B18" s="22"/>
      <c r="C18" s="22"/>
      <c r="D18" s="22"/>
      <c r="E18" s="22"/>
      <c r="F18" s="22"/>
      <c r="G18" s="22"/>
      <c r="H18" s="22"/>
      <c r="I18" s="22"/>
      <c r="J18" s="22"/>
      <c r="K18" s="18"/>
      <c r="L18" s="18"/>
      <c r="M18" s="18"/>
    </row>
    <row r="19" customFormat="false" ht="14.25" hidden="false" customHeight="true" outlineLevel="0" collapsed="false">
      <c r="A19" s="23"/>
      <c r="B19" s="22"/>
      <c r="C19" s="22"/>
      <c r="K19" s="18"/>
      <c r="L19" s="18"/>
      <c r="M19" s="18"/>
    </row>
  </sheetData>
  <mergeCells count="5">
    <mergeCell ref="A1:J2"/>
    <mergeCell ref="B3:F3"/>
    <mergeCell ref="H3:J3"/>
    <mergeCell ref="L5:M5"/>
    <mergeCell ref="H15:I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2026-08-03T10:29:55Z</dcterms:created>
  <dc:creator>Sujan Shrestha</dc:creator>
  <dc:description/>
  <dc:language>en-US</dc:language>
  <cp:lastModifiedBy>Aaradhya</cp:lastModifiedBy>
  <dcterms:modified xsi:type="dcterms:W3CDTF">2026-08-11T04:06:04Z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