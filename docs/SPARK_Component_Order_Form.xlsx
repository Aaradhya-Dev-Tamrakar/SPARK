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aradhya-Dev-Tamrakar\SPARK\docs\"/>
    </mc:Choice>
  </mc:AlternateContent>
  <xr:revisionPtr revIDLastSave="0" documentId="13_ncr:1_{93825A8C-EB61-4334-9D56-286B8E4294AF}" xr6:coauthVersionLast="36" xr6:coauthVersionMax="36" xr10:uidLastSave="{00000000-0000-0000-0000-000000000000}"/>
  <bookViews>
    <workbookView xWindow="0" yWindow="0" windowWidth="17985" windowHeight="7748" tabRatio="500" xr2:uid="{00000000-000D-0000-FFFF-FFFF00000000}"/>
  </bookViews>
  <sheets>
    <sheet name="Sheet1" sheetId="1" r:id="rId1"/>
  </sheets>
  <calcPr calcId="191029" iterateDelta="1E-4"/>
</workbook>
</file>

<file path=xl/calcChain.xml><?xml version="1.0" encoding="utf-8"?>
<calcChain xmlns="http://schemas.openxmlformats.org/spreadsheetml/2006/main">
  <c r="J15" i="1" l="1"/>
  <c r="F15" i="1"/>
  <c r="J14" i="1"/>
  <c r="F14" i="1"/>
  <c r="J13" i="1"/>
  <c r="F13" i="1"/>
  <c r="J12" i="1"/>
  <c r="F12" i="1"/>
  <c r="J11" i="1"/>
  <c r="F11" i="1"/>
  <c r="J10" i="1"/>
  <c r="F10" i="1"/>
  <c r="J9" i="1"/>
  <c r="F9" i="1"/>
  <c r="J8" i="1"/>
  <c r="F8" i="1"/>
  <c r="J7" i="1"/>
  <c r="F7" i="1"/>
  <c r="J6" i="1"/>
  <c r="F6" i="1"/>
  <c r="J5" i="1"/>
  <c r="J16" i="1" s="1"/>
  <c r="F5" i="1"/>
  <c r="F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8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Price is legacy-proposal baseline, not vendor-requoted (tracker §2.6). Action #32 unresolved: confirm whether the Giga Nepal 1100mAh cell (sourced v34) is already a protected pack — if so, drop this line.</t>
        </r>
      </text>
    </comment>
    <comment ref="G1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</t>
        </r>
      </text>
    </comment>
    <comment ref="G13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Legacy-proposal baseline pricing, not re-quoted against a live vendor (tracker §2.6). "SLT Pvt.Ltd" isn't corroborated anywhere in tracker sourcing history — confirm before ordering.</t>
        </r>
      </text>
    </comment>
    <comment ref="G14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Legacy-proposal baseline pricing, not re-quoted against a live vendor (tracker §2.6). "SLT Pvt.Ltd" isn't corroborated anywhere in tracker sourcing history — confirm before ordering.</t>
        </r>
      </text>
    </comment>
  </commentList>
</comments>
</file>

<file path=xl/sharedStrings.xml><?xml version="1.0" encoding="utf-8"?>
<sst xmlns="http://schemas.openxmlformats.org/spreadsheetml/2006/main" count="43" uniqueCount="37">
  <si>
    <t>Project name: SPARK — Wearable Fall Detection System</t>
  </si>
  <si>
    <t>Components List</t>
  </si>
  <si>
    <t>TO ORDER</t>
  </si>
  <si>
    <t>S.N.</t>
  </si>
  <si>
    <t>Components with main features</t>
  </si>
  <si>
    <t>Quantity</t>
  </si>
  <si>
    <t>ISSUED (NRs.)</t>
  </si>
  <si>
    <t>Unit Cost (NRs.)</t>
  </si>
  <si>
    <t>Total Cost</t>
  </si>
  <si>
    <t>Availability</t>
  </si>
  <si>
    <t>Total Cost (NRs.)</t>
  </si>
  <si>
    <t>ESP32-S3 (WROOM-1-CAM variant)</t>
  </si>
  <si>
    <t>Himalayan Solutions</t>
  </si>
  <si>
    <t>Members:</t>
  </si>
  <si>
    <t>MPU6050 IMU module</t>
  </si>
  <si>
    <t>Aaradhya Dev Tamrakar</t>
  </si>
  <si>
    <t>Lithium battery, 1100 mAh Li-ion/LiPo</t>
  </si>
  <si>
    <t>Giga Nepal</t>
  </si>
  <si>
    <t>Rupesh Kadel</t>
  </si>
  <si>
    <t>Charge/protection circuit (TP4056-class)</t>
  </si>
  <si>
    <t>SLT Pvt.Ltd</t>
  </si>
  <si>
    <t>Sankalpa Lamsal</t>
  </si>
  <si>
    <t>Velcro wrist strap</t>
  </si>
  <si>
    <t>RR-papers</t>
  </si>
  <si>
    <t>Sonia Thapa</t>
  </si>
  <si>
    <t>Compression arm sleeve (base layer, thumb-hole)</t>
  </si>
  <si>
    <t>Daraz — BLUE BELL Let's Slim</t>
  </si>
  <si>
    <t>Dipen Manandhar (Supervisor)</t>
  </si>
  <si>
    <t>TPU filament, 1kg roll (enclosure raw material)</t>
  </si>
  <si>
    <t>KEC Makerspace / vendor TBD</t>
  </si>
  <si>
    <t>USB-C cables</t>
  </si>
  <si>
    <t>Daraz</t>
  </si>
  <si>
    <t>Breadboard + jumper wires</t>
  </si>
  <si>
    <t>Resistor/capacitor assortment</t>
  </si>
  <si>
    <t>M2.5 self-tapping screws, generic metal (unconfirmed stainless/head-type), x8mm both PCB mount + shell-join</t>
  </si>
  <si>
    <t>Daraz Nepal (daraz.com.np)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</si>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</sst>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4"/>
      <color rgb="FF000000"/>
      <name val="&quot;Times New Roman&quot;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000000"/>
      <name val="&quot;Times New Roman&quot;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Times New Roman&quot;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8" xfId="0" applyBorder="1"/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zoomScale="119" zoomScaleNormal="130" workbookViewId="0">
      <selection activeCell="A16" sqref="A16:XFD16"/>
    </sheetView>
  </sheetViews>
  <sheetFormatPr defaultColWidth="9.06640625" defaultRowHeight="14.25"/>
  <cols>
    <col min="1" max="1" width="5.06640625" style="1" customWidth="1"/>
    <col min="2" max="2" width="43.06640625" style="1" customWidth="1"/>
    <col min="3" max="3" width="8.1328125" style="1" customWidth="1"/>
    <col min="4" max="4" width="11.53125" style="1" customWidth="1"/>
    <col min="5" max="5" width="13.06640625" style="1" customWidth="1"/>
    <col min="6" max="6" width="8.73046875" style="1" customWidth="1"/>
    <col min="7" max="7" width="33.73046875" style="1" customWidth="1"/>
    <col min="8" max="8" width="8.1328125" style="1" customWidth="1"/>
    <col min="9" max="9" width="8.9296875" style="1" customWidth="1"/>
    <col min="10" max="10" width="8.796875" style="1" customWidth="1"/>
    <col min="11" max="11" width="9.06640625" style="1" customWidth="1"/>
    <col min="12" max="12" width="25.73046875" style="1" customWidth="1"/>
    <col min="13" max="13" width="14.86328125" style="1" customWidth="1"/>
    <col min="14" max="14" width="9.06640625" style="1" customWidth="1"/>
    <col min="15" max="16384" width="9.06640625" style="1"/>
  </cols>
  <sheetData>
    <row r="1" spans="1:14">
      <c r="A1" s="17" t="s">
        <v>0</v>
      </c>
      <c r="B1" s="22"/>
      <c r="C1" s="22"/>
      <c r="D1" s="22"/>
      <c r="E1" s="22"/>
      <c r="F1" s="22"/>
      <c r="G1" s="22"/>
      <c r="H1" s="22"/>
      <c r="I1" s="22"/>
      <c r="J1" s="23"/>
      <c r="K1" s="2"/>
      <c r="L1" s="2"/>
      <c r="M1" s="2"/>
    </row>
    <row r="2" spans="1:14">
      <c r="A2" s="24"/>
      <c r="B2" s="25"/>
      <c r="C2" s="25"/>
      <c r="D2" s="25"/>
      <c r="E2" s="25"/>
      <c r="F2" s="25"/>
      <c r="G2" s="25"/>
      <c r="H2" s="25"/>
      <c r="I2" s="25"/>
      <c r="J2" s="26"/>
      <c r="K2" s="2"/>
      <c r="L2" s="2"/>
      <c r="M2" s="2"/>
    </row>
    <row r="3" spans="1:14">
      <c r="A3" s="18"/>
      <c r="B3" s="16" t="s">
        <v>1</v>
      </c>
      <c r="C3" s="27"/>
      <c r="D3" s="27"/>
      <c r="E3" s="27"/>
      <c r="F3" s="28"/>
      <c r="G3" s="19"/>
      <c r="H3" s="20" t="s">
        <v>2</v>
      </c>
      <c r="I3" s="27"/>
      <c r="J3" s="28"/>
      <c r="K3" s="2"/>
      <c r="L3" s="2"/>
      <c r="M3" s="2"/>
    </row>
    <row r="4" spans="1:14" ht="39.4">
      <c r="A4" s="18" t="s">
        <v>3</v>
      </c>
      <c r="B4" s="21" t="s">
        <v>4</v>
      </c>
      <c r="C4" s="21" t="s">
        <v>5</v>
      </c>
      <c r="D4" s="21" t="s">
        <v>6</v>
      </c>
      <c r="E4" s="21" t="s">
        <v>7</v>
      </c>
      <c r="F4" s="21" t="s">
        <v>8</v>
      </c>
      <c r="G4" s="21" t="s">
        <v>9</v>
      </c>
      <c r="H4" s="21" t="s">
        <v>5</v>
      </c>
      <c r="I4" s="21" t="s">
        <v>7</v>
      </c>
      <c r="J4" s="21" t="s">
        <v>10</v>
      </c>
      <c r="K4" s="2"/>
      <c r="L4" s="2"/>
      <c r="M4" s="2"/>
    </row>
    <row r="5" spans="1:14">
      <c r="A5" s="12">
        <v>1</v>
      </c>
      <c r="B5" s="3" t="s">
        <v>11</v>
      </c>
      <c r="C5" s="3"/>
      <c r="D5" s="3"/>
      <c r="E5" s="4"/>
      <c r="F5" s="4">
        <f t="shared" ref="F5:F15" si="0">C5*E5</f>
        <v>0</v>
      </c>
      <c r="G5" s="3" t="s">
        <v>12</v>
      </c>
      <c r="H5" s="3">
        <v>3</v>
      </c>
      <c r="I5" s="3">
        <v>1800</v>
      </c>
      <c r="J5" s="5">
        <f t="shared" ref="J5:J15" si="1">H5*I5</f>
        <v>5400</v>
      </c>
      <c r="K5" s="2"/>
      <c r="L5" s="16" t="s">
        <v>13</v>
      </c>
      <c r="M5" s="15"/>
      <c r="N5" s="6"/>
    </row>
    <row r="6" spans="1:14">
      <c r="A6" s="12">
        <v>2</v>
      </c>
      <c r="B6" s="7" t="s">
        <v>14</v>
      </c>
      <c r="C6" s="3"/>
      <c r="D6" s="3"/>
      <c r="E6" s="4"/>
      <c r="F6" s="4">
        <f t="shared" si="0"/>
        <v>0</v>
      </c>
      <c r="G6" s="3" t="s">
        <v>12</v>
      </c>
      <c r="H6" s="5">
        <v>1</v>
      </c>
      <c r="I6" s="5">
        <v>350</v>
      </c>
      <c r="J6" s="5">
        <f t="shared" si="1"/>
        <v>350</v>
      </c>
      <c r="K6" s="2"/>
      <c r="L6" s="8" t="s">
        <v>15</v>
      </c>
      <c r="M6" s="8">
        <v>9844602050</v>
      </c>
      <c r="N6" s="9"/>
    </row>
    <row r="7" spans="1:14">
      <c r="A7" s="12">
        <v>3</v>
      </c>
      <c r="B7" s="7" t="s">
        <v>16</v>
      </c>
      <c r="C7" s="3"/>
      <c r="D7" s="3"/>
      <c r="E7" s="4"/>
      <c r="F7" s="4">
        <f t="shared" si="0"/>
        <v>0</v>
      </c>
      <c r="G7" s="3" t="s">
        <v>17</v>
      </c>
      <c r="H7" s="5">
        <v>1</v>
      </c>
      <c r="I7" s="5">
        <v>550</v>
      </c>
      <c r="J7" s="5">
        <f t="shared" si="1"/>
        <v>550</v>
      </c>
      <c r="K7" s="2"/>
      <c r="L7" s="8" t="s">
        <v>18</v>
      </c>
      <c r="M7" s="8">
        <v>9845842901</v>
      </c>
      <c r="N7" s="9"/>
    </row>
    <row r="8" spans="1:14">
      <c r="A8" s="12">
        <v>4</v>
      </c>
      <c r="B8" s="7" t="s">
        <v>19</v>
      </c>
      <c r="C8" s="3"/>
      <c r="D8" s="3"/>
      <c r="E8" s="3"/>
      <c r="F8" s="3">
        <f t="shared" si="0"/>
        <v>0</v>
      </c>
      <c r="G8" s="3" t="s">
        <v>20</v>
      </c>
      <c r="H8" s="3">
        <v>1</v>
      </c>
      <c r="I8" s="3">
        <v>90</v>
      </c>
      <c r="J8" s="5">
        <f t="shared" si="1"/>
        <v>90</v>
      </c>
      <c r="K8" s="2"/>
      <c r="L8" s="8" t="s">
        <v>21</v>
      </c>
      <c r="M8" s="8">
        <v>9818912244</v>
      </c>
      <c r="N8" s="9"/>
    </row>
    <row r="9" spans="1:14">
      <c r="A9" s="12">
        <v>5</v>
      </c>
      <c r="B9" s="7" t="s">
        <v>22</v>
      </c>
      <c r="C9" s="3"/>
      <c r="D9" s="3"/>
      <c r="E9" s="4"/>
      <c r="F9" s="4">
        <f t="shared" si="0"/>
        <v>0</v>
      </c>
      <c r="G9" s="3" t="s">
        <v>23</v>
      </c>
      <c r="H9" s="3">
        <v>2</v>
      </c>
      <c r="I9" s="3">
        <v>500</v>
      </c>
      <c r="J9" s="5">
        <f t="shared" si="1"/>
        <v>1000</v>
      </c>
      <c r="K9" s="2"/>
      <c r="L9" s="8" t="s">
        <v>24</v>
      </c>
      <c r="M9" s="8">
        <v>9819137477</v>
      </c>
      <c r="N9" s="9"/>
    </row>
    <row r="10" spans="1:14">
      <c r="A10" s="12">
        <v>6</v>
      </c>
      <c r="B10" s="7" t="s">
        <v>25</v>
      </c>
      <c r="C10" s="3"/>
      <c r="D10" s="3"/>
      <c r="E10" s="4"/>
      <c r="F10" s="4">
        <f t="shared" si="0"/>
        <v>0</v>
      </c>
      <c r="G10" s="3" t="s">
        <v>26</v>
      </c>
      <c r="H10" s="5">
        <v>1</v>
      </c>
      <c r="I10" s="5">
        <v>136</v>
      </c>
      <c r="J10" s="5">
        <f t="shared" si="1"/>
        <v>136</v>
      </c>
      <c r="K10" s="2"/>
      <c r="L10" s="8" t="s">
        <v>27</v>
      </c>
      <c r="M10" s="5">
        <v>9841576746</v>
      </c>
    </row>
    <row r="11" spans="1:14">
      <c r="A11" s="12">
        <v>7</v>
      </c>
      <c r="B11" s="7" t="s">
        <v>28</v>
      </c>
      <c r="C11" s="3"/>
      <c r="D11" s="3"/>
      <c r="E11" s="3"/>
      <c r="F11" s="3">
        <f t="shared" si="0"/>
        <v>0</v>
      </c>
      <c r="G11" s="3" t="s">
        <v>29</v>
      </c>
      <c r="H11" s="3">
        <v>1</v>
      </c>
      <c r="I11" s="3">
        <v>4000</v>
      </c>
      <c r="J11" s="5">
        <f t="shared" si="1"/>
        <v>4000</v>
      </c>
      <c r="K11" s="2"/>
      <c r="L11" s="10"/>
      <c r="M11" s="10"/>
      <c r="N11" s="9"/>
    </row>
    <row r="12" spans="1:14">
      <c r="A12" s="12">
        <v>8</v>
      </c>
      <c r="B12" s="7" t="s">
        <v>30</v>
      </c>
      <c r="C12" s="3"/>
      <c r="D12" s="3"/>
      <c r="E12" s="4"/>
      <c r="F12" s="4">
        <f t="shared" si="0"/>
        <v>0</v>
      </c>
      <c r="G12" s="3" t="s">
        <v>31</v>
      </c>
      <c r="H12" s="5">
        <v>3</v>
      </c>
      <c r="I12" s="5">
        <v>267</v>
      </c>
      <c r="J12" s="5">
        <f t="shared" si="1"/>
        <v>801</v>
      </c>
      <c r="K12" s="2"/>
      <c r="L12" s="11"/>
      <c r="M12" s="2"/>
    </row>
    <row r="13" spans="1:14">
      <c r="A13" s="12">
        <v>9</v>
      </c>
      <c r="B13" s="12" t="s">
        <v>32</v>
      </c>
      <c r="C13" s="12"/>
      <c r="D13" s="12"/>
      <c r="E13" s="12"/>
      <c r="F13" s="12">
        <f t="shared" si="0"/>
        <v>0</v>
      </c>
      <c r="G13" s="12" t="s">
        <v>20</v>
      </c>
      <c r="H13" s="12">
        <v>2</v>
      </c>
      <c r="I13" s="12">
        <v>325</v>
      </c>
      <c r="J13" s="12">
        <f t="shared" si="1"/>
        <v>650</v>
      </c>
      <c r="K13" s="11"/>
      <c r="L13" s="11"/>
      <c r="M13" s="11"/>
    </row>
    <row r="14" spans="1:14">
      <c r="A14" s="12">
        <v>10</v>
      </c>
      <c r="B14" s="7" t="s">
        <v>33</v>
      </c>
      <c r="C14" s="3"/>
      <c r="D14" s="3"/>
      <c r="E14" s="4"/>
      <c r="F14" s="4">
        <f t="shared" si="0"/>
        <v>0</v>
      </c>
      <c r="G14" s="3" t="s">
        <v>12</v>
      </c>
      <c r="H14" s="3">
        <v>1</v>
      </c>
      <c r="I14" s="3">
        <v>600</v>
      </c>
      <c r="J14" s="5">
        <f t="shared" si="1"/>
        <v>600</v>
      </c>
      <c r="K14" s="2"/>
      <c r="L14" s="10"/>
      <c r="M14" s="10"/>
      <c r="N14" s="9"/>
    </row>
    <row r="15" spans="1:14" ht="42.75">
      <c r="A15" s="11">
        <v>11</v>
      </c>
      <c r="B15" s="11" t="s">
        <v>34</v>
      </c>
      <c r="C15" s="11"/>
      <c r="D15" s="11"/>
      <c r="E15" s="11"/>
      <c r="F15" s="11">
        <f t="shared" si="0"/>
        <v>0</v>
      </c>
      <c r="G15" s="11" t="s">
        <v>35</v>
      </c>
      <c r="H15" s="11">
        <v>20</v>
      </c>
      <c r="I15" s="11">
        <v>15</v>
      </c>
      <c r="J15" s="11">
        <f t="shared" si="1"/>
        <v>300</v>
      </c>
    </row>
    <row r="16" spans="1:14" s="34" customFormat="1">
      <c r="A16" s="29"/>
      <c r="B16" s="30"/>
      <c r="C16" s="29"/>
      <c r="D16" s="31" t="s">
        <v>36</v>
      </c>
      <c r="E16" s="32"/>
      <c r="F16" s="29">
        <f>SUM(F5:F15)</f>
        <v>0</v>
      </c>
      <c r="G16" s="29"/>
      <c r="H16" s="31" t="s">
        <v>36</v>
      </c>
      <c r="I16" s="32"/>
      <c r="J16" s="29">
        <f>SUM(J5:J15)</f>
        <v>13877</v>
      </c>
      <c r="K16" s="33"/>
      <c r="L16" s="33"/>
      <c r="M16" s="33"/>
    </row>
    <row r="17" spans="1:13" ht="14.25" customHeight="1">
      <c r="B17" s="13"/>
      <c r="C17" s="13"/>
      <c r="D17" s="13"/>
      <c r="E17" s="13"/>
      <c r="F17" s="13"/>
      <c r="G17" s="11"/>
      <c r="H17" s="13"/>
      <c r="I17" s="13"/>
      <c r="J17" s="13"/>
      <c r="K17" s="11"/>
      <c r="L17" s="11"/>
      <c r="M17" s="11"/>
    </row>
    <row r="18" spans="1:13" ht="14.25" customHeight="1">
      <c r="A18" s="14"/>
      <c r="B18" s="13"/>
      <c r="C18" s="13"/>
      <c r="D18" s="13"/>
      <c r="E18" s="13"/>
      <c r="F18" s="13"/>
      <c r="G18" s="13"/>
      <c r="H18" s="13"/>
      <c r="J18" s="13"/>
      <c r="K18" s="11"/>
      <c r="L18" s="11"/>
      <c r="M18" s="11"/>
    </row>
    <row r="19" spans="1:13" ht="14.25" customHeight="1">
      <c r="A19" s="14"/>
      <c r="B19" s="13"/>
      <c r="C19" s="13"/>
      <c r="D19" s="13"/>
      <c r="E19" s="13"/>
      <c r="F19" s="13"/>
      <c r="G19" s="13"/>
      <c r="H19" s="13"/>
      <c r="I19" s="13"/>
      <c r="J19" s="13"/>
      <c r="K19" s="11"/>
      <c r="L19" s="11"/>
      <c r="M19" s="11"/>
    </row>
    <row r="20" spans="1:13">
      <c r="A20" s="14"/>
      <c r="B20" s="13"/>
      <c r="C20" s="13"/>
      <c r="K20" s="11"/>
      <c r="L20" s="11"/>
      <c r="M20" s="11"/>
    </row>
  </sheetData>
  <mergeCells count="6">
    <mergeCell ref="D16:E16"/>
    <mergeCell ref="A1:J2"/>
    <mergeCell ref="H16:I16"/>
    <mergeCell ref="B3:F3"/>
    <mergeCell ref="L5:M5"/>
    <mergeCell ref="H3:J3"/>
  </mergeCells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Sujan Shrestha</dc:creator>
  <cp:lastModifiedBy>Aaradhya</cp:lastModifiedBy>
  <cp:revision>0</cp:revision>
  <dcterms:created xsi:type="dcterms:W3CDTF">2026-08-03T10:29:55Z</dcterms:created>
  <dcterms:modified xsi:type="dcterms:W3CDTF">2026-08-12T12:27:33Z</dcterms:modified>
  <dc:language>en-US</dc:language>
</cp:coreProperties>
</file>