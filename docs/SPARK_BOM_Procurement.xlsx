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aradhya-Dev-Tamrakar\SPARK\docs\"/>
    </mc:Choice>
  </mc:AlternateContent>
  <xr:revisionPtr revIDLastSave="0" documentId="13_ncr:1_{F8FDAC12-F71D-401D-8167-DB40E6558C4A}" xr6:coauthVersionLast="36" xr6:coauthVersionMax="36" xr10:uidLastSave="{00000000-0000-0000-0000-000000000000}"/>
  <bookViews>
    <workbookView xWindow="0" yWindow="0" windowWidth="24000" windowHeight="11783" tabRatio="500" xr2:uid="{00000000-000D-0000-FFFF-FFFF00000000}"/>
  </bookViews>
  <sheets>
    <sheet name="BOM &amp; Procurement" sheetId="1" r:id="rId1"/>
  </sheets>
  <calcPr calcId="191029" iterateDelta="1E-4"/>
</workbook>
</file>

<file path=xl/calcChain.xml><?xml version="1.0" encoding="utf-8"?>
<calcChain xmlns="http://schemas.openxmlformats.org/spreadsheetml/2006/main">
  <c r="E16" i="1" l="1"/>
  <c r="E15" i="1"/>
  <c r="E13" i="1"/>
  <c r="E11" i="1"/>
  <c r="E9" i="1"/>
  <c r="E8" i="1"/>
  <c r="E7" i="1"/>
  <c r="E6" i="1"/>
  <c r="E5" i="1"/>
  <c r="E4" i="1"/>
  <c r="E3" i="1"/>
  <c r="E18" i="1" l="1"/>
</calcChain>
</file>

<file path=xl/sharedStrings.xml><?xml version="1.0" encoding="utf-8"?>
<sst xmlns="http://schemas.openxmlformats.org/spreadsheetml/2006/main" count="81" uniqueCount="75">
  <si>
    <t>Item</t>
  </si>
  <si>
    <t>Qty</t>
  </si>
  <si>
    <t>Vendor</t>
  </si>
  <si>
    <t>Unit Price (NPR)</t>
  </si>
  <si>
    <t>Line Total (NPR)</t>
  </si>
  <si>
    <t>Funding Source</t>
  </si>
  <si>
    <t>Status</t>
  </si>
  <si>
    <t>Action Ref</t>
  </si>
  <si>
    <t>Notes</t>
  </si>
  <si>
    <t>Wearable Node</t>
  </si>
  <si>
    <t>ESP32-S3 (WROOM-1-CAM variant)</t>
  </si>
  <si>
    <t>RoboNepal</t>
  </si>
  <si>
    <t>1 self-funded (Aaradhya) + 1 dept ask</t>
  </si>
  <si>
    <t>Ordering pending — Action #16 spare unit not yet added</t>
  </si>
  <si>
    <t>#16, #18, #19</t>
  </si>
  <si>
    <t>Add 1 spare unit at same order (bundle #16/#18/#19)</t>
  </si>
  <si>
    <t>MPU6050 IMU</t>
  </si>
  <si>
    <t>Lab-borrowed (KEC)</t>
  </si>
  <si>
    <t>Lab-borrowed, no cost</t>
  </si>
  <si>
    <t>Receipt/availability unconfirmed</t>
  </si>
  <si>
    <t>#18</t>
  </si>
  <si>
    <t>Confirm in-hand and ready for integration testing</t>
  </si>
  <si>
    <t>Lithium battery</t>
  </si>
  <si>
    <t>TBD (sourcing)</t>
  </si>
  <si>
    <t>Unpriced placeholder</t>
  </si>
  <si>
    <t>Spec locked v28 (1000 mAh Li-ion/LiPo) — sourcing not started</t>
  </si>
  <si>
    <t>—</t>
  </si>
  <si>
    <t>1000 mAh Li-ion/LiPo, locked v28 per R-05 endurance assumption (~8-10hr @ 5mA/200Hz)</t>
  </si>
  <si>
    <t>USB-C cable</t>
  </si>
  <si>
    <t>Self-funded</t>
  </si>
  <si>
    <t>Self-funded (Aaradhya), price unlogged</t>
  </si>
  <si>
    <t>Open — price not recorded</t>
  </si>
  <si>
    <t>#19</t>
  </si>
  <si>
    <t>Log actual price once purchased</t>
  </si>
  <si>
    <t>Charge/protection circuit (TP4056-class)</t>
  </si>
  <si>
    <t>TBD (vendor, baseline SLT Pvt.Ltd)</t>
  </si>
  <si>
    <t>Unpriced-baseline (legacy proposal pricing)</t>
  </si>
  <si>
    <t>New v28 — required unless sourced battery is a protected pack</t>
  </si>
  <si>
    <t>#32</t>
  </si>
  <si>
    <t>Added v28. Drop this line if the purchased battery cell already includes protection.</t>
  </si>
  <si>
    <t>Enclosure (3D-printed PLA)</t>
  </si>
  <si>
    <t>KEC Makerspace (in-house)</t>
  </si>
  <si>
    <t>Material cost negligible; labor in-house</t>
  </si>
  <si>
    <t>Method + form factor both resolved — wrist-worn (Action #8, locked v28)</t>
  </si>
  <si>
    <t>#8, #11, #34</t>
  </si>
  <si>
    <t>Wrist-worn, locked v28. Electronics top-of-wrist/dorsal, locked v29 (Action #34). Threshold calibration (Action #7) can proceed against fixed geometry.</t>
  </si>
  <si>
    <t>Compression arm sleeve (base layer, thumb-hole)</t>
  </si>
  <si>
    <t>Daraz (Blue Bell / No Brand)</t>
  </si>
  <si>
    <t>Self-funded (Aaradhya) — Daraz Rs.136 (was Rs.200, -32%) + Rs.100 std delivery</t>
  </si>
  <si>
    <t>New v30 — enclosure base layer, closure mechanism locked (Velcro)</t>
  </si>
  <si>
    <t>#34</t>
  </si>
  <si>
    <t>Worn under wrist enclosure per Action #34 (top-of-wrist placement + Velcro closure, v30). Product: BLUE BELL Let's Slim arm sleeve, thumb-hole, stretchable, light blue. Delivery to Kathmandu ~10-11 Aug.</t>
  </si>
  <si>
    <t>Gateway</t>
  </si>
  <si>
    <t>Acer Swift Go 16 (laptop, already owned)</t>
  </si>
  <si>
    <t>Owned</t>
  </si>
  <si>
    <t>No cost</t>
  </si>
  <si>
    <t>Resolved — in hand</t>
  </si>
  <si>
    <t>#15</t>
  </si>
  <si>
    <t>Compute sufficiency confirmed vs RPi 4B (v15)</t>
  </si>
  <si>
    <t>Miscellaneous</t>
  </si>
  <si>
    <t>BLE dongle</t>
  </si>
  <si>
    <t>TBD (vendor)</t>
  </si>
  <si>
    <t>Unpriced</t>
  </si>
  <si>
    <t>Modality locked v28 — dongle required (phone app confirmed)</t>
  </si>
  <si>
    <t>Phone app confirmed v28; dongle required over built-in BLE. Vendor/price not yet sourced.</t>
  </si>
  <si>
    <t>Bring-up/Assembly</t>
  </si>
  <si>
    <t>Breadboard + jumper wires</t>
  </si>
  <si>
    <t>New v28 — bring-up/prototyping hardware</t>
  </si>
  <si>
    <t>#33</t>
  </si>
  <si>
    <t>Added v28. 2 sets, per legacy table pricing (NPR 325/set).</t>
  </si>
  <si>
    <t>Resistor/capacitor assortment</t>
  </si>
  <si>
    <t>TBD (vendor, baseline Himalayan Solutions)</t>
  </si>
  <si>
    <t>Added v28. 1 lot, per legacy table pricing (NPR 600/lot).</t>
  </si>
  <si>
    <t>TOTAL PROJECT COST</t>
  </si>
  <si>
    <t>Source: dev_logs/SPARK_TRACKER.md §2.6, §1 (Actions #16,#18,#19,#32,#33,#34). Prior confirmed total ~NPR 15,004 (v22/v13); v28 added ~NPR 1,340 (Actions #32/#33); v30 adds NPR 136 arm sleeve (Action #34).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</si>
</sst>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2"/>
      <name val="Arial"/>
      <family val="2"/>
    </font>
    <font>
      <b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3" fontId="2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pane ySplit="1" topLeftCell="A6" activePane="bottomLeft" state="frozen"/>
      <selection pane="bottomLeft" activeCell="H1" sqref="H1:H1048576"/>
    </sheetView>
  </sheetViews>
  <sheetFormatPr defaultColWidth="8.6640625" defaultRowHeight="14.25" x14ac:dyDescent="0.45"/>
  <cols>
    <col min="1" max="1" width="32" style="1" customWidth="1"/>
    <col min="2" max="2" width="6" style="6" customWidth="1"/>
    <col min="3" max="3" width="22" style="1" customWidth="1"/>
    <col min="4" max="4" width="14" style="6" customWidth="1"/>
    <col min="5" max="5" width="24.06640625" style="6" customWidth="1"/>
    <col min="6" max="6" width="26" style="1" customWidth="1"/>
    <col min="7" max="7" width="30" style="1" customWidth="1"/>
    <col min="8" max="8" width="12" style="1" customWidth="1"/>
    <col min="9" max="9" width="38" style="1" customWidth="1"/>
  </cols>
  <sheetData>
    <row r="1" spans="1:9" s="4" customFormat="1" ht="30" customHeight="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45">
      <c r="A2" s="8" t="s">
        <v>9</v>
      </c>
      <c r="B2" s="9"/>
      <c r="C2" s="9"/>
      <c r="D2" s="9"/>
      <c r="E2" s="9"/>
      <c r="F2" s="9"/>
      <c r="G2" s="9"/>
      <c r="H2" s="9"/>
      <c r="I2" s="10"/>
    </row>
    <row r="3" spans="1:9" ht="25.5" customHeight="1" x14ac:dyDescent="0.45">
      <c r="A3" s="2" t="s">
        <v>10</v>
      </c>
      <c r="B3" s="5">
        <v>2</v>
      </c>
      <c r="C3" s="2" t="s">
        <v>11</v>
      </c>
      <c r="D3" s="7">
        <v>1979</v>
      </c>
      <c r="E3" s="7">
        <f t="shared" ref="E3:E9" si="0">B3*D3</f>
        <v>3958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25.5" customHeight="1" x14ac:dyDescent="0.45">
      <c r="A4" s="2" t="s">
        <v>16</v>
      </c>
      <c r="B4" s="5">
        <v>1</v>
      </c>
      <c r="C4" s="2" t="s">
        <v>17</v>
      </c>
      <c r="D4" s="7">
        <v>0</v>
      </c>
      <c r="E4" s="7">
        <f t="shared" si="0"/>
        <v>0</v>
      </c>
      <c r="F4" s="2" t="s">
        <v>18</v>
      </c>
      <c r="G4" s="2" t="s">
        <v>19</v>
      </c>
      <c r="H4" s="2" t="s">
        <v>20</v>
      </c>
      <c r="I4" s="2" t="s">
        <v>21</v>
      </c>
    </row>
    <row r="5" spans="1:9" ht="38.25" customHeight="1" x14ac:dyDescent="0.45">
      <c r="A5" s="2" t="s">
        <v>22</v>
      </c>
      <c r="B5" s="5">
        <v>1</v>
      </c>
      <c r="C5" s="2" t="s">
        <v>23</v>
      </c>
      <c r="D5" s="7">
        <v>0</v>
      </c>
      <c r="E5" s="7">
        <f t="shared" si="0"/>
        <v>0</v>
      </c>
      <c r="F5" s="2" t="s">
        <v>24</v>
      </c>
      <c r="G5" s="2" t="s">
        <v>25</v>
      </c>
      <c r="H5" s="2" t="s">
        <v>26</v>
      </c>
      <c r="I5" s="2" t="s">
        <v>27</v>
      </c>
    </row>
    <row r="6" spans="1:9" ht="25.5" customHeight="1" x14ac:dyDescent="0.45">
      <c r="A6" s="2" t="s">
        <v>28</v>
      </c>
      <c r="B6" s="5">
        <v>1</v>
      </c>
      <c r="C6" s="2" t="s">
        <v>29</v>
      </c>
      <c r="D6" s="7">
        <v>0</v>
      </c>
      <c r="E6" s="7">
        <f t="shared" si="0"/>
        <v>0</v>
      </c>
      <c r="F6" s="2" t="s">
        <v>30</v>
      </c>
      <c r="G6" s="2" t="s">
        <v>31</v>
      </c>
      <c r="H6" s="2" t="s">
        <v>32</v>
      </c>
      <c r="I6" s="2" t="s">
        <v>33</v>
      </c>
    </row>
    <row r="7" spans="1:9" ht="25.5" customHeight="1" x14ac:dyDescent="0.45">
      <c r="A7" s="2" t="s">
        <v>34</v>
      </c>
      <c r="B7" s="5">
        <v>1</v>
      </c>
      <c r="C7" s="2" t="s">
        <v>35</v>
      </c>
      <c r="D7" s="7">
        <v>90</v>
      </c>
      <c r="E7" s="7">
        <f t="shared" si="0"/>
        <v>90</v>
      </c>
      <c r="F7" s="2" t="s">
        <v>36</v>
      </c>
      <c r="G7" s="2" t="s">
        <v>37</v>
      </c>
      <c r="H7" s="2" t="s">
        <v>38</v>
      </c>
      <c r="I7" s="2" t="s">
        <v>39</v>
      </c>
    </row>
    <row r="8" spans="1:9" ht="51" customHeight="1" x14ac:dyDescent="0.45">
      <c r="A8" s="2" t="s">
        <v>40</v>
      </c>
      <c r="B8" s="5">
        <v>1</v>
      </c>
      <c r="C8" s="2" t="s">
        <v>41</v>
      </c>
      <c r="D8" s="5">
        <v>0</v>
      </c>
      <c r="E8" s="5">
        <f t="shared" si="0"/>
        <v>0</v>
      </c>
      <c r="F8" s="2" t="s">
        <v>42</v>
      </c>
      <c r="G8" s="2" t="s">
        <v>43</v>
      </c>
      <c r="H8" s="2" t="s">
        <v>44</v>
      </c>
      <c r="I8" s="2" t="s">
        <v>45</v>
      </c>
    </row>
    <row r="9" spans="1:9" ht="63.75" x14ac:dyDescent="0.45">
      <c r="A9" s="2" t="s">
        <v>46</v>
      </c>
      <c r="B9" s="5">
        <v>1</v>
      </c>
      <c r="C9" s="2" t="s">
        <v>47</v>
      </c>
      <c r="D9" s="7">
        <v>136</v>
      </c>
      <c r="E9" s="7">
        <f t="shared" si="0"/>
        <v>136</v>
      </c>
      <c r="F9" s="2" t="s">
        <v>48</v>
      </c>
      <c r="G9" s="2" t="s">
        <v>49</v>
      </c>
      <c r="H9" s="2" t="s">
        <v>50</v>
      </c>
      <c r="I9" s="2" t="s">
        <v>51</v>
      </c>
    </row>
    <row r="10" spans="1:9" ht="25.5" customHeight="1" x14ac:dyDescent="0.45">
      <c r="A10" s="8" t="s">
        <v>52</v>
      </c>
      <c r="B10" s="9"/>
      <c r="C10" s="9"/>
      <c r="D10" s="9"/>
      <c r="E10" s="9"/>
      <c r="F10" s="9"/>
      <c r="G10" s="9"/>
      <c r="H10" s="9"/>
      <c r="I10" s="10"/>
    </row>
    <row r="11" spans="1:9" ht="25.5" x14ac:dyDescent="0.45">
      <c r="A11" s="2" t="s">
        <v>53</v>
      </c>
      <c r="B11" s="5">
        <v>1</v>
      </c>
      <c r="C11" s="2" t="s">
        <v>54</v>
      </c>
      <c r="D11" s="5">
        <v>0</v>
      </c>
      <c r="E11" s="5">
        <f>B11*D11</f>
        <v>0</v>
      </c>
      <c r="F11" s="2" t="s">
        <v>55</v>
      </c>
      <c r="G11" s="2" t="s">
        <v>56</v>
      </c>
      <c r="H11" s="2" t="s">
        <v>57</v>
      </c>
      <c r="I11" s="2" t="s">
        <v>58</v>
      </c>
    </row>
    <row r="12" spans="1:9" ht="38.25" customHeight="1" x14ac:dyDescent="0.45">
      <c r="A12" s="8" t="s">
        <v>59</v>
      </c>
      <c r="B12" s="9"/>
      <c r="C12" s="9"/>
      <c r="D12" s="9"/>
      <c r="E12" s="9"/>
      <c r="F12" s="9"/>
      <c r="G12" s="9"/>
      <c r="H12" s="9"/>
      <c r="I12" s="10"/>
    </row>
    <row r="13" spans="1:9" ht="38.25" x14ac:dyDescent="0.45">
      <c r="A13" s="2" t="s">
        <v>60</v>
      </c>
      <c r="B13" s="5">
        <v>1</v>
      </c>
      <c r="C13" s="2" t="s">
        <v>61</v>
      </c>
      <c r="D13" s="5">
        <v>0</v>
      </c>
      <c r="E13" s="5">
        <f>B13*D13</f>
        <v>0</v>
      </c>
      <c r="F13" s="2" t="s">
        <v>62</v>
      </c>
      <c r="G13" s="2" t="s">
        <v>63</v>
      </c>
      <c r="H13" s="2" t="s">
        <v>26</v>
      </c>
      <c r="I13" s="2" t="s">
        <v>64</v>
      </c>
    </row>
    <row r="14" spans="1:9" ht="25.5" customHeight="1" x14ac:dyDescent="0.45">
      <c r="A14" s="8" t="s">
        <v>65</v>
      </c>
      <c r="B14" s="9"/>
      <c r="C14" s="9"/>
      <c r="D14" s="9"/>
      <c r="E14" s="9"/>
      <c r="F14" s="9"/>
      <c r="G14" s="9"/>
      <c r="H14" s="9"/>
      <c r="I14" s="10"/>
    </row>
    <row r="15" spans="1:9" ht="25.5" customHeight="1" x14ac:dyDescent="0.45">
      <c r="A15" s="2" t="s">
        <v>66</v>
      </c>
      <c r="B15" s="5">
        <v>2</v>
      </c>
      <c r="C15" s="2" t="s">
        <v>35</v>
      </c>
      <c r="D15" s="5">
        <v>325</v>
      </c>
      <c r="E15" s="5">
        <f>B15*D15</f>
        <v>650</v>
      </c>
      <c r="F15" s="2" t="s">
        <v>36</v>
      </c>
      <c r="G15" s="2" t="s">
        <v>67</v>
      </c>
      <c r="H15" s="2" t="s">
        <v>68</v>
      </c>
      <c r="I15" s="2" t="s">
        <v>69</v>
      </c>
    </row>
    <row r="16" spans="1:9" ht="25.5" x14ac:dyDescent="0.45">
      <c r="A16" s="2" t="s">
        <v>70</v>
      </c>
      <c r="B16" s="5">
        <v>1</v>
      </c>
      <c r="C16" s="2" t="s">
        <v>71</v>
      </c>
      <c r="D16" s="5">
        <v>600</v>
      </c>
      <c r="E16" s="5">
        <f>B16*D16</f>
        <v>600</v>
      </c>
      <c r="F16" s="2" t="s">
        <v>36</v>
      </c>
      <c r="G16" s="2" t="s">
        <v>67</v>
      </c>
      <c r="H16" s="2" t="s">
        <v>68</v>
      </c>
      <c r="I16" s="2" t="s">
        <v>72</v>
      </c>
    </row>
    <row r="17" spans="1:9" x14ac:dyDescent="0.45">
      <c r="A17" s="2"/>
      <c r="B17" s="5"/>
      <c r="C17" s="2"/>
      <c r="D17" s="5"/>
      <c r="E17" s="5"/>
      <c r="F17" s="2"/>
      <c r="G17" s="2"/>
      <c r="H17" s="2"/>
      <c r="I17" s="2"/>
    </row>
    <row r="18" spans="1:9" x14ac:dyDescent="0.45">
      <c r="A18" s="2" t="s">
        <v>73</v>
      </c>
      <c r="B18" s="5"/>
      <c r="C18" s="2"/>
      <c r="D18" s="5"/>
      <c r="E18" s="5">
        <f>SUM(E2:E16)</f>
        <v>5434</v>
      </c>
      <c r="F18" s="2"/>
      <c r="G18" s="2"/>
      <c r="H18" s="2"/>
      <c r="I18" s="2"/>
    </row>
    <row r="19" spans="1:9" x14ac:dyDescent="0.45">
      <c r="A19" s="2"/>
      <c r="B19" s="5"/>
      <c r="C19" s="2"/>
      <c r="D19" s="5"/>
      <c r="E19" s="5"/>
      <c r="F19" s="2"/>
      <c r="G19" s="2"/>
      <c r="H19" s="2"/>
      <c r="I19" s="2"/>
    </row>
    <row r="20" spans="1:9" x14ac:dyDescent="0.45">
      <c r="A20" s="11" t="s">
        <v>74</v>
      </c>
      <c r="B20" s="9"/>
      <c r="C20" s="9"/>
      <c r="D20" s="9"/>
      <c r="E20" s="9"/>
      <c r="F20" s="9"/>
      <c r="G20" s="9"/>
      <c r="H20" s="9"/>
      <c r="I20" s="10"/>
    </row>
  </sheetData>
  <mergeCells count="5">
    <mergeCell ref="A2:I2"/>
    <mergeCell ref="A10:I10"/>
    <mergeCell ref="A14:I14"/>
    <mergeCell ref="A12:I12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&amp; Procurement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Aaradhya</cp:lastModifiedBy>
  <cp:revision>0</cp:revision>
  <dcterms:created xsi:type="dcterms:W3CDTF">2026-08-05T08:39:13Z</dcterms:created>
  <dcterms:modified xsi:type="dcterms:W3CDTF">2026-08-10T08:14:40Z</dcterms:modified>
  <dc:language>en-US</dc:language>
</cp:coreProperties>
</file>