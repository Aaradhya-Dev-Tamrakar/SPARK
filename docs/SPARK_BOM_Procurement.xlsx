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 &amp; Procuremen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NPR&quot;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i val="1"/>
      <sz val="9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D9D9"/>
        <bgColor rgb="FFD9EAD3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D9D9D9"/>
      </patternFill>
    </fill>
    <fill>
      <patternFill patternType="solid">
        <fgColor rgb="FFFFF2CC"/>
        <bgColor rgb="FFFCE5C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3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4" fontId="5" fillId="6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top" wrapText="1"/>
    </xf>
    <xf numFmtId="3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4" fontId="5" fillId="6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11" min="1" max="1"/>
    <col width="6" customWidth="1" style="11" min="2" max="2"/>
    <col width="22" customWidth="1" style="11" min="3" max="3"/>
    <col width="14" customWidth="1" style="11" min="4" max="5"/>
    <col width="26" customWidth="1" style="11" min="6" max="6"/>
    <col width="30" customWidth="1" style="11" min="7" max="7"/>
    <col width="12" customWidth="1" style="11" min="8" max="8"/>
    <col width="38" customWidth="1" style="11" min="9" max="9"/>
  </cols>
  <sheetData>
    <row r="1" ht="27.75" customHeight="1" s="12">
      <c r="A1" s="13" t="inlineStr">
        <is>
          <t>Item</t>
        </is>
      </c>
      <c r="B1" s="13" t="inlineStr">
        <is>
          <t>Qty</t>
        </is>
      </c>
      <c r="C1" s="13" t="inlineStr">
        <is>
          <t>Vendor</t>
        </is>
      </c>
      <c r="D1" s="13" t="inlineStr">
        <is>
          <t>Unit Price (NPR)</t>
        </is>
      </c>
      <c r="E1" s="13" t="inlineStr">
        <is>
          <t>Line Total (NPR)</t>
        </is>
      </c>
      <c r="F1" s="13" t="inlineStr">
        <is>
          <t>Funding Source</t>
        </is>
      </c>
      <c r="G1" s="13" t="inlineStr">
        <is>
          <t>Status</t>
        </is>
      </c>
      <c r="H1" s="13" t="inlineStr">
        <is>
          <t>Action Ref</t>
        </is>
      </c>
      <c r="I1" s="13" t="inlineStr">
        <is>
          <t>Notes</t>
        </is>
      </c>
    </row>
    <row r="2" ht="15" customHeight="1" s="12">
      <c r="A2" s="14" t="inlineStr">
        <is>
          <t>Wearable Node</t>
        </is>
      </c>
      <c r="B2" s="15" t="n"/>
      <c r="C2" s="15" t="n"/>
      <c r="D2" s="15" t="n"/>
      <c r="E2" s="15" t="n"/>
      <c r="F2" s="15" t="n"/>
      <c r="G2" s="15" t="n"/>
      <c r="H2" s="15" t="n"/>
      <c r="I2" s="16" t="n"/>
    </row>
    <row r="3" ht="23.85" customHeight="1" s="12">
      <c r="A3" s="17" t="inlineStr">
        <is>
          <t>ESP32-S3 (WROOM-1-CAM variant)</t>
        </is>
      </c>
      <c r="B3" s="17" t="n">
        <v>2</v>
      </c>
      <c r="C3" s="17" t="inlineStr">
        <is>
          <t>RoboNepal</t>
        </is>
      </c>
      <c r="D3" s="18" t="n">
        <v>1979</v>
      </c>
      <c r="E3" s="18">
        <f>B3*D3</f>
        <v/>
      </c>
      <c r="F3" s="17" t="inlineStr">
        <is>
          <t>1 self-funded (Aaradhya) + 1 dept ask</t>
        </is>
      </c>
      <c r="G3" s="19" t="inlineStr">
        <is>
          <t>Ordering pending — Action #16 spare unit not yet added</t>
        </is>
      </c>
      <c r="H3" s="17" t="inlineStr">
        <is>
          <t>#16, #18, #19</t>
        </is>
      </c>
      <c r="I3" s="17" t="inlineStr">
        <is>
          <t>Add 1 spare unit at same order (bundle #16/#18/#19)</t>
        </is>
      </c>
    </row>
    <row r="4" ht="23.85" customHeight="1" s="12">
      <c r="A4" s="17" t="inlineStr">
        <is>
          <t>MPU6050 IMU</t>
        </is>
      </c>
      <c r="B4" s="17" t="n">
        <v>1</v>
      </c>
      <c r="C4" s="17" t="inlineStr">
        <is>
          <t>Lab-borrowed (KEC)</t>
        </is>
      </c>
      <c r="D4" s="18" t="n">
        <v>0</v>
      </c>
      <c r="E4" s="18">
        <f>B4*D4</f>
        <v/>
      </c>
      <c r="F4" s="17" t="inlineStr">
        <is>
          <t>Lab-borrowed, no cost</t>
        </is>
      </c>
      <c r="G4" s="19" t="inlineStr">
        <is>
          <t>Receipt/availability unconfirmed</t>
        </is>
      </c>
      <c r="H4" s="17" t="inlineStr">
        <is>
          <t>#18</t>
        </is>
      </c>
      <c r="I4" s="17" t="inlineStr">
        <is>
          <t>Confirm in-hand and ready for integration testing</t>
        </is>
      </c>
    </row>
    <row r="5" ht="15" customHeight="1" s="12">
      <c r="A5" s="17" t="inlineStr">
        <is>
          <t>Lithium battery</t>
        </is>
      </c>
      <c r="B5" s="17" t="n">
        <v>1</v>
      </c>
      <c r="C5" s="17" t="inlineStr">
        <is>
          <t>TBD (sourcing)</t>
        </is>
      </c>
      <c r="D5" s="18" t="n">
        <v>0</v>
      </c>
      <c r="E5" s="18">
        <f>B5*D5</f>
        <v/>
      </c>
      <c r="F5" s="17" t="inlineStr">
        <is>
          <t>Unpriced placeholder</t>
        </is>
      </c>
      <c r="G5" s="19" t="inlineStr">
        <is>
          <t>Spec locked v28 (1000 mAh Li-ion/LiPo) — sourcing not started</t>
        </is>
      </c>
      <c r="H5" s="17" t="inlineStr">
        <is>
          <t>—</t>
        </is>
      </c>
      <c r="I5" s="17" t="inlineStr">
        <is>
          <t>1000 mAh Li-ion/LiPo, locked v28 per R-05 endurance assumption (~8-10hr @ 5mA/200Hz)</t>
        </is>
      </c>
    </row>
    <row r="6" ht="23.85" customHeight="1" s="12">
      <c r="A6" s="17" t="inlineStr">
        <is>
          <t>USB-C cable</t>
        </is>
      </c>
      <c r="B6" s="17" t="n">
        <v>1</v>
      </c>
      <c r="C6" s="17" t="inlineStr">
        <is>
          <t>Self-funded</t>
        </is>
      </c>
      <c r="D6" s="18" t="n">
        <v>0</v>
      </c>
      <c r="E6" s="18">
        <f>B6*D6</f>
        <v/>
      </c>
      <c r="F6" s="17" t="inlineStr">
        <is>
          <t>Self-funded (Aaradhya), price unlogged</t>
        </is>
      </c>
      <c r="G6" s="19" t="inlineStr">
        <is>
          <t>Open — price not recorded</t>
        </is>
      </c>
      <c r="H6" s="17" t="inlineStr">
        <is>
          <t>#19</t>
        </is>
      </c>
      <c r="I6" s="17" t="inlineStr">
        <is>
          <t>Log actual price once purchased</t>
        </is>
      </c>
    </row>
    <row r="7" ht="23.85" customHeight="1" s="12">
      <c r="A7" s="17" t="inlineStr">
        <is>
          <t>Enclosure (3D-printed PLA)</t>
        </is>
      </c>
      <c r="B7" s="17" t="n">
        <v>1</v>
      </c>
      <c r="C7" s="17" t="inlineStr">
        <is>
          <t>KEC Makerspace (in-house)</t>
        </is>
      </c>
      <c r="D7" s="18" t="n">
        <v>0</v>
      </c>
      <c r="E7" s="18">
        <f>B7*D7</f>
        <v/>
      </c>
      <c r="F7" s="17" t="inlineStr">
        <is>
          <t>Material cost negligible; labor in-house</t>
        </is>
      </c>
      <c r="G7" s="19" t="inlineStr">
        <is>
          <t>Method + form factor both resolved — wrist-worn (Action #8, locked v28)</t>
        </is>
      </c>
      <c r="H7" s="17" t="inlineStr">
        <is>
          <t>#8, #11</t>
        </is>
      </c>
      <c r="I7" s="17" t="inlineStr">
        <is>
          <t>Wrist-worn, locked v28. Threshold calibration (Action #7) can proceed against fixed geometry.</t>
        </is>
      </c>
    </row>
    <row r="8" ht="15" customHeight="1" s="12">
      <c r="A8" s="14" t="inlineStr">
        <is>
          <t>Gateway</t>
        </is>
      </c>
      <c r="B8" s="15" t="n"/>
      <c r="C8" s="15" t="n"/>
      <c r="D8" s="15" t="n"/>
      <c r="E8" s="15" t="n"/>
      <c r="F8" s="15" t="n"/>
      <c r="G8" s="15" t="n"/>
      <c r="H8" s="15" t="n"/>
      <c r="I8" s="16" t="n"/>
    </row>
    <row r="9" ht="23.85" customHeight="1" s="12">
      <c r="A9" s="17" t="inlineStr">
        <is>
          <t>Acer Swift Go 16 (laptop, already owned)</t>
        </is>
      </c>
      <c r="B9" s="17" t="n">
        <v>1</v>
      </c>
      <c r="C9" s="17" t="inlineStr">
        <is>
          <t>Owned</t>
        </is>
      </c>
      <c r="D9" s="18" t="n">
        <v>0</v>
      </c>
      <c r="E9" s="18">
        <f>B9*D9</f>
        <v/>
      </c>
      <c r="F9" s="17" t="inlineStr">
        <is>
          <t>No cost</t>
        </is>
      </c>
      <c r="G9" s="20" t="inlineStr">
        <is>
          <t>Resolved — in hand</t>
        </is>
      </c>
      <c r="H9" s="17" t="inlineStr">
        <is>
          <t>#15</t>
        </is>
      </c>
      <c r="I9" s="17" t="inlineStr">
        <is>
          <t>Compute sufficiency confirmed vs RPi 4B (v15)</t>
        </is>
      </c>
    </row>
    <row r="10" ht="15" customHeight="1" s="12">
      <c r="A10" s="14" t="inlineStr">
        <is>
          <t>Miscellaneous</t>
        </is>
      </c>
      <c r="B10" s="15" t="n"/>
      <c r="C10" s="15" t="n"/>
      <c r="D10" s="15" t="n"/>
      <c r="E10" s="15" t="n"/>
      <c r="F10" s="15" t="n"/>
      <c r="G10" s="15" t="n"/>
      <c r="H10" s="15" t="n"/>
      <c r="I10" s="16" t="n"/>
    </row>
    <row r="11" ht="23.85" customHeight="1" s="12">
      <c r="A11" s="17" t="inlineStr">
        <is>
          <t>BLE dongle</t>
        </is>
      </c>
      <c r="B11" s="17" t="n">
        <v>1</v>
      </c>
      <c r="C11" s="17" t="inlineStr">
        <is>
          <t>TBD (vendor)</t>
        </is>
      </c>
      <c r="D11" s="18" t="n">
        <v>0</v>
      </c>
      <c r="E11" s="18">
        <f>B11*D11</f>
        <v/>
      </c>
      <c r="F11" s="17" t="inlineStr">
        <is>
          <t>Unpriced</t>
        </is>
      </c>
      <c r="G11" s="19" t="inlineStr">
        <is>
          <t>Modality locked v28 — dongle required (phone app confirmed)</t>
        </is>
      </c>
      <c r="H11" s="17" t="inlineStr">
        <is>
          <t>—</t>
        </is>
      </c>
      <c r="I11" s="17" t="inlineStr">
        <is>
          <t>Phone app confirmed v28; dongle required over built-in BLE. Vendor/price not yet sourced.</t>
        </is>
      </c>
    </row>
    <row r="13" ht="15" customHeight="1" s="12">
      <c r="A13" s="21" t="inlineStr">
        <is>
          <t>TOTAL PROJECT COST</t>
        </is>
      </c>
      <c r="B13" s="22" t="n"/>
      <c r="C13" s="22" t="n"/>
      <c r="D13" s="22" t="n"/>
      <c r="E13" s="23">
        <f>SUM(E2:E11)</f>
        <v/>
      </c>
    </row>
    <row r="15" ht="15" customHeight="1" s="12">
      <c r="A15" s="24" t="inlineStr">
        <is>
          <t>Source: dev_logs/SPARK_TRACKER.md §2.6, §1 (Actions #16,#18,#19). Prior confirmed total ~NPR 15,004 (v22/v13).</t>
        </is>
      </c>
    </row>
  </sheetData>
  <mergeCells count="4">
    <mergeCell ref="A10:I10"/>
    <mergeCell ref="A8:I8"/>
    <mergeCell ref="A2:I2"/>
    <mergeCell ref="A15:I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2026-08-05T08:39:13Z</dcterms:created>
  <dcterms:modified xmlns:dcterms="http://purl.org/dc/terms/" xmlns:xsi="http://www.w3.org/2001/XMLSchema-instance" xsi:type="dcterms:W3CDTF">2026-08-06T15:22:27Z</dcterms:modified>
  <cp:revision>0</cp:revision>
</cp:coreProperties>
</file>