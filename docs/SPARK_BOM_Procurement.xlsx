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8" windowHeight="8190" tabRatio="500" firstSheet="0" activeTab="0" autoFilterDateGrouping="1"/>
  </bookViews>
  <sheets>
    <sheet xmlns:r="http://schemas.openxmlformats.org/officeDocument/2006/relationships" name="BOM &amp; Procurement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charset val="1"/>
      <b val="1"/>
      <sz val="11"/>
    </font>
    <font>
      <name val="Arial"/>
      <charset val="1"/>
      <sz val="10"/>
    </font>
    <font>
      <name val="Arial"/>
      <family val="2"/>
      <b val="1"/>
      <sz val="12"/>
    </font>
    <font>
      <name val="Calibri"/>
      <charset val="1"/>
      <family val="2"/>
      <b val="1"/>
      <color theme="1"/>
      <sz val="12"/>
    </font>
  </fonts>
  <fills count="3">
    <fill>
      <patternFill/>
    </fill>
    <fill>
      <patternFill patternType="gray125"/>
    </fill>
    <fill>
      <patternFill patternType="solid">
        <fgColor rgb="FFD9D9D9"/>
        <bgColor rgb="FFD9EAD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1" fillId="2" borderId="1" pivotButton="0" quotePrefix="0" xfId="0"/>
    <xf numFmtId="0" fontId="3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wrapText="1"/>
    </xf>
    <xf numFmtId="0" fontId="2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3" fontId="2" fillId="0" borderId="1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zoomScaleNormal="100" workbookViewId="0">
      <pane ySplit="1" topLeftCell="A2" activePane="bottomLeft" state="frozen"/>
      <selection pane="bottomLeft" activeCell="C22" sqref="C22"/>
    </sheetView>
  </sheetViews>
  <sheetFormatPr baseColWidth="8" defaultColWidth="8.6640625" defaultRowHeight="14.25"/>
  <cols>
    <col width="32" customWidth="1" style="1" min="1" max="1"/>
    <col width="6" customWidth="1" style="10" min="2" max="2"/>
    <col width="22" customWidth="1" style="1" min="3" max="3"/>
    <col width="14" customWidth="1" style="10" min="4" max="4"/>
    <col width="24.06640625" customWidth="1" style="10" min="5" max="5"/>
    <col width="26" customWidth="1" style="1" min="6" max="6"/>
    <col width="30" customWidth="1" style="1" min="7" max="7"/>
    <col width="12" customWidth="1" style="1" min="8" max="8"/>
    <col width="38" customWidth="1" style="1" min="9" max="9"/>
  </cols>
  <sheetData>
    <row r="1" ht="30" customFormat="1" customHeight="1" s="8">
      <c r="A1" s="7" t="inlineStr">
        <is>
          <t>Item</t>
        </is>
      </c>
      <c r="B1" s="7" t="inlineStr">
        <is>
          <t>Qty</t>
        </is>
      </c>
      <c r="C1" s="7" t="inlineStr">
        <is>
          <t>Vendor</t>
        </is>
      </c>
      <c r="D1" s="7" t="inlineStr">
        <is>
          <t>Unit Price (NPR)</t>
        </is>
      </c>
      <c r="E1" s="7" t="inlineStr">
        <is>
          <t>Line Total (NPR)</t>
        </is>
      </c>
      <c r="F1" s="7" t="inlineStr">
        <is>
          <t>Funding Source</t>
        </is>
      </c>
      <c r="G1" s="7" t="inlineStr">
        <is>
          <t>Status</t>
        </is>
      </c>
      <c r="H1" s="7" t="inlineStr">
        <is>
          <t>Action Ref</t>
        </is>
      </c>
      <c r="I1" s="7" t="inlineStr">
        <is>
          <t>Notes</t>
        </is>
      </c>
    </row>
    <row r="2">
      <c r="A2" s="6" t="inlineStr">
        <is>
          <t>Wearable Node</t>
        </is>
      </c>
      <c r="B2" s="4" t="n"/>
      <c r="C2" s="4" t="n"/>
      <c r="D2" s="4" t="n"/>
      <c r="E2" s="4" t="n"/>
      <c r="F2" s="4" t="n"/>
      <c r="G2" s="4" t="n"/>
      <c r="H2" s="4" t="n"/>
      <c r="I2" s="5" t="n"/>
    </row>
    <row r="3" ht="25.5" customHeight="1" s="1">
      <c r="A3" s="3" t="inlineStr">
        <is>
          <t>ESP32-S3 (WROOM-1-CAM variant)</t>
        </is>
      </c>
      <c r="B3" s="9" t="n">
        <v>2</v>
      </c>
      <c r="C3" s="3" t="inlineStr">
        <is>
          <t>RoboNepal</t>
        </is>
      </c>
      <c r="D3" s="11" t="n">
        <v>1979</v>
      </c>
      <c r="E3" s="11">
        <f>B3*D3</f>
        <v/>
      </c>
      <c r="F3" s="3" t="inlineStr">
        <is>
          <t>1 self-funded (Aaradhya) + 1 dept ask</t>
        </is>
      </c>
      <c r="G3" s="3" t="inlineStr">
        <is>
          <t>Ordering pending — Action #16 spare unit not yet added</t>
        </is>
      </c>
      <c r="H3" s="3" t="inlineStr">
        <is>
          <t>#16, #18, #19</t>
        </is>
      </c>
      <c r="I3" s="3" t="inlineStr">
        <is>
          <t>Add 1 spare unit at same order (bundle #16/#18/#19)</t>
        </is>
      </c>
    </row>
    <row r="4" ht="25.5" customHeight="1" s="1">
      <c r="A4" s="3" t="inlineStr">
        <is>
          <t>MPU6050 IMU</t>
        </is>
      </c>
      <c r="B4" s="9" t="n">
        <v>1</v>
      </c>
      <c r="C4" s="3" t="inlineStr">
        <is>
          <t>Lab-borrowed (KEC)</t>
        </is>
      </c>
      <c r="D4" s="11" t="n">
        <v>0</v>
      </c>
      <c r="E4" s="11">
        <f>B4*D4</f>
        <v/>
      </c>
      <c r="F4" s="3" t="inlineStr">
        <is>
          <t>Lab-borrowed, no cost</t>
        </is>
      </c>
      <c r="G4" s="3" t="inlineStr">
        <is>
          <t>Receipt/availability unconfirmed</t>
        </is>
      </c>
      <c r="H4" s="3" t="inlineStr">
        <is>
          <t>#18</t>
        </is>
      </c>
      <c r="I4" s="3" t="inlineStr">
        <is>
          <t>Confirm in-hand and ready for integration testing</t>
        </is>
      </c>
    </row>
    <row r="5" ht="38.25" customHeight="1" s="1">
      <c r="A5" s="3" t="inlineStr">
        <is>
          <t>Lithium battery</t>
        </is>
      </c>
      <c r="B5" s="9" t="n">
        <v>1</v>
      </c>
      <c r="C5" s="3" t="inlineStr">
        <is>
          <t>TBD (sourcing)</t>
        </is>
      </c>
      <c r="D5" s="11" t="n">
        <v>0</v>
      </c>
      <c r="E5" s="11">
        <f>B5*D5</f>
        <v/>
      </c>
      <c r="F5" s="3" t="inlineStr">
        <is>
          <t>Unpriced placeholder</t>
        </is>
      </c>
      <c r="G5" s="3" t="inlineStr">
        <is>
          <t>Spec locked v28 (1000 mAh Li-ion/LiPo) — sourcing not started</t>
        </is>
      </c>
      <c r="H5" s="3" t="inlineStr">
        <is>
          <t>—</t>
        </is>
      </c>
      <c r="I5" s="3" t="inlineStr">
        <is>
          <t>1000 mAh Li-ion/LiPo, locked v28 per R-05 endurance assumption (~8-10hr @ 5mA/200Hz)</t>
        </is>
      </c>
    </row>
    <row r="6" ht="25.5" customHeight="1" s="1">
      <c r="A6" s="3" t="inlineStr">
        <is>
          <t>USB-C cable</t>
        </is>
      </c>
      <c r="B6" s="9" t="n">
        <v>1</v>
      </c>
      <c r="C6" s="3" t="inlineStr">
        <is>
          <t>Self-funded</t>
        </is>
      </c>
      <c r="D6" s="11" t="n">
        <v>0</v>
      </c>
      <c r="E6" s="11">
        <f>B6*D6</f>
        <v/>
      </c>
      <c r="F6" s="3" t="inlineStr">
        <is>
          <t>Self-funded (Aaradhya), price unlogged</t>
        </is>
      </c>
      <c r="G6" s="3" t="inlineStr">
        <is>
          <t>Open — price not recorded</t>
        </is>
      </c>
      <c r="H6" s="3" t="inlineStr">
        <is>
          <t>#19</t>
        </is>
      </c>
      <c r="I6" s="3" t="inlineStr">
        <is>
          <t>Log actual price once purchased</t>
        </is>
      </c>
    </row>
    <row r="7" ht="25.5" customHeight="1" s="1">
      <c r="A7" s="3" t="inlineStr">
        <is>
          <t>Charge/protection circuit (TP4056-class)</t>
        </is>
      </c>
      <c r="B7" s="9" t="n">
        <v>1</v>
      </c>
      <c r="C7" s="3" t="inlineStr">
        <is>
          <t>TBD (vendor, baseline SLT Pvt.Ltd)</t>
        </is>
      </c>
      <c r="D7" s="11" t="n">
        <v>90</v>
      </c>
      <c r="E7" s="11">
        <f>B7*D7</f>
        <v/>
      </c>
      <c r="F7" s="3" t="inlineStr">
        <is>
          <t>Unpriced-baseline (legacy proposal pricing)</t>
        </is>
      </c>
      <c r="G7" s="3" t="inlineStr">
        <is>
          <t>New v28 — required unless sourced battery is a protected pack</t>
        </is>
      </c>
      <c r="H7" s="3" t="inlineStr">
        <is>
          <t>#32</t>
        </is>
      </c>
      <c r="I7" s="3" t="inlineStr">
        <is>
          <t>Added v28. Drop this line if the purchased battery cell already includes protection.</t>
        </is>
      </c>
    </row>
    <row r="8" ht="51" customHeight="1" s="1">
      <c r="A8" s="3" t="inlineStr">
        <is>
          <t>Enclosure (3D-printed PLA)</t>
        </is>
      </c>
      <c r="B8" s="9" t="n">
        <v>1</v>
      </c>
      <c r="C8" s="3" t="inlineStr">
        <is>
          <t>KEC Makerspace (in-house)</t>
        </is>
      </c>
      <c r="D8" s="9" t="n">
        <v>0</v>
      </c>
      <c r="E8" s="9">
        <f>B8*D8</f>
        <v/>
      </c>
      <c r="F8" s="3" t="inlineStr">
        <is>
          <t>Material cost negligible; labor in-house</t>
        </is>
      </c>
      <c r="G8" s="3" t="inlineStr">
        <is>
          <t>Method + form factor both resolved — wrist-worn (Action #8, locked v28)</t>
        </is>
      </c>
      <c r="H8" s="3" t="inlineStr">
        <is>
          <t>#8, #11, #34</t>
        </is>
      </c>
      <c r="I8" s="3" t="inlineStr">
        <is>
          <t>Wrist-worn, locked v28. Electronics top-of-wrist/dorsal, locked v29 (Action #34). Threshold calibration (Action #7) can proceed against fixed geometry.</t>
        </is>
      </c>
    </row>
    <row r="9">
      <c r="A9" s="3" t="inlineStr">
        <is>
          <t>Compression arm sleeve (base layer, thumb-hole)</t>
        </is>
      </c>
      <c r="B9" s="9" t="n">
        <v>1</v>
      </c>
      <c r="C9" s="3" t="inlineStr">
        <is>
          <t>Daraz (Blue Bell / No Brand)</t>
        </is>
      </c>
      <c r="D9" s="11" t="n">
        <v>136</v>
      </c>
      <c r="E9" s="11">
        <f>B9*D9</f>
        <v/>
      </c>
      <c r="F9" s="3" t="inlineStr">
        <is>
          <t>Self-funded (Aaradhya) — Daraz Rs.136 (was Rs.200, -32%) + Rs.100 std delivery</t>
        </is>
      </c>
      <c r="G9" s="3" t="inlineStr">
        <is>
          <t>New v30 — enclosure base layer, closure mechanism locked (Velcro)</t>
        </is>
      </c>
      <c r="H9" s="3" t="inlineStr">
        <is>
          <t>#34</t>
        </is>
      </c>
      <c r="I9" s="3" t="inlineStr">
        <is>
          <t>Worn under wrist enclosure per Action #34 (top-of-wrist placement + Velcro closure, v30). Product: BLUE BELL Let's Slim arm sleeve, thumb-hole, stretchable, light blue. Delivery to Kathmandu ~10-11 Aug.</t>
        </is>
      </c>
    </row>
    <row r="10" ht="25.5" customHeight="1" s="1">
      <c r="A10" s="6" t="inlineStr">
        <is>
          <t>Gateway</t>
        </is>
      </c>
      <c r="B10" s="4" t="n"/>
      <c r="C10" s="4" t="n"/>
      <c r="D10" s="4" t="n"/>
      <c r="E10" s="4" t="n"/>
      <c r="F10" s="4" t="n"/>
      <c r="G10" s="4" t="n"/>
      <c r="H10" s="4" t="n"/>
      <c r="I10" s="5" t="n"/>
    </row>
    <row r="11">
      <c r="A11" s="3" t="inlineStr">
        <is>
          <t>Acer Swift Go 16 (laptop, already owned)</t>
        </is>
      </c>
      <c r="B11" s="9" t="n">
        <v>1</v>
      </c>
      <c r="C11" s="3" t="inlineStr">
        <is>
          <t>Owned</t>
        </is>
      </c>
      <c r="D11" s="9" t="n">
        <v>0</v>
      </c>
      <c r="E11" s="9">
        <f>B11*D11</f>
        <v/>
      </c>
      <c r="F11" s="3" t="inlineStr">
        <is>
          <t>No cost</t>
        </is>
      </c>
      <c r="G11" s="3" t="inlineStr">
        <is>
          <t>Resolved — in hand</t>
        </is>
      </c>
      <c r="H11" s="3" t="inlineStr">
        <is>
          <t>#15</t>
        </is>
      </c>
      <c r="I11" s="3" t="inlineStr">
        <is>
          <t>Compute sufficiency confirmed vs RPi 4B (v15)</t>
        </is>
      </c>
    </row>
    <row r="12" ht="38.25" customHeight="1" s="1">
      <c r="A12" s="6" t="inlineStr">
        <is>
          <t>Miscellaneous</t>
        </is>
      </c>
      <c r="B12" s="4" t="n"/>
      <c r="C12" s="4" t="n"/>
      <c r="D12" s="4" t="n"/>
      <c r="E12" s="4" t="n"/>
      <c r="F12" s="4" t="n"/>
      <c r="G12" s="4" t="n"/>
      <c r="H12" s="4" t="n"/>
      <c r="I12" s="5" t="n"/>
    </row>
    <row r="13">
      <c r="A13" s="3" t="inlineStr">
        <is>
          <t>BLE dongle</t>
        </is>
      </c>
      <c r="B13" s="9" t="n">
        <v>1</v>
      </c>
      <c r="C13" s="3" t="inlineStr">
        <is>
          <t>TBD (vendor)</t>
        </is>
      </c>
      <c r="D13" s="9" t="n">
        <v>0</v>
      </c>
      <c r="E13" s="9">
        <f>B13*D13</f>
        <v/>
      </c>
      <c r="F13" s="3" t="inlineStr">
        <is>
          <t>Unpriced</t>
        </is>
      </c>
      <c r="G13" s="3" t="inlineStr">
        <is>
          <t>Modality locked v28 — dongle required (phone app confirmed)</t>
        </is>
      </c>
      <c r="H13" s="3" t="inlineStr">
        <is>
          <t>—</t>
        </is>
      </c>
      <c r="I13" s="3" t="inlineStr">
        <is>
          <t>Phone app confirmed v28; dongle required over built-in BLE. Vendor/price not yet sourced.</t>
        </is>
      </c>
    </row>
    <row r="14" ht="25.5" customHeight="1" s="1">
      <c r="A14" s="6" t="inlineStr">
        <is>
          <t>Bring-up/Assembly</t>
        </is>
      </c>
      <c r="B14" s="4" t="n"/>
      <c r="C14" s="4" t="n"/>
      <c r="D14" s="4" t="n"/>
      <c r="E14" s="4" t="n"/>
      <c r="F14" s="4" t="n"/>
      <c r="G14" s="4" t="n"/>
      <c r="H14" s="4" t="n"/>
      <c r="I14" s="5" t="n"/>
    </row>
    <row r="15" ht="25.5" customHeight="1" s="1">
      <c r="A15" s="3" t="inlineStr">
        <is>
          <t>Breadboard + jumper wires</t>
        </is>
      </c>
      <c r="B15" s="9" t="n">
        <v>2</v>
      </c>
      <c r="C15" s="3" t="inlineStr">
        <is>
          <t>TBD (vendor, baseline SLT Pvt.Ltd)</t>
        </is>
      </c>
      <c r="D15" s="9" t="n">
        <v>325</v>
      </c>
      <c r="E15" s="9">
        <f>B15*D15</f>
        <v/>
      </c>
      <c r="F15" s="3" t="inlineStr">
        <is>
          <t>Unpriced-baseline (legacy proposal pricing)</t>
        </is>
      </c>
      <c r="G15" s="3" t="inlineStr">
        <is>
          <t>New v28 — bring-up/prototyping hardware</t>
        </is>
      </c>
      <c r="H15" s="3" t="inlineStr">
        <is>
          <t>#33</t>
        </is>
      </c>
      <c r="I15" s="3" t="inlineStr">
        <is>
          <t>Added v28. 2 sets, per legacy table pricing (NPR 325/set).</t>
        </is>
      </c>
    </row>
    <row r="16">
      <c r="A16" s="3" t="inlineStr">
        <is>
          <t>Resistor/capacitor assortment</t>
        </is>
      </c>
      <c r="B16" s="9" t="n">
        <v>1</v>
      </c>
      <c r="C16" s="3" t="inlineStr">
        <is>
          <t>TBD (vendor, baseline Himalayan Solutions)</t>
        </is>
      </c>
      <c r="D16" s="9" t="n">
        <v>600</v>
      </c>
      <c r="E16" s="9">
        <f>B16*D16</f>
        <v/>
      </c>
      <c r="F16" s="3" t="inlineStr">
        <is>
          <t>Unpriced-baseline (legacy proposal pricing)</t>
        </is>
      </c>
      <c r="G16" s="3" t="inlineStr">
        <is>
          <t>New v28 — bring-up/prototyping hardware</t>
        </is>
      </c>
      <c r="H16" s="3" t="inlineStr">
        <is>
          <t>#33</t>
        </is>
      </c>
      <c r="I16" s="3" t="inlineStr">
        <is>
          <t>Added v28. 1 lot, per legacy table pricing (NPR 600/lot).</t>
        </is>
      </c>
    </row>
    <row r="17">
      <c r="A17" s="3" t="n"/>
      <c r="B17" s="9" t="n"/>
      <c r="C17" s="3" t="n"/>
      <c r="D17" s="9" t="n"/>
      <c r="E17" s="9" t="n"/>
      <c r="F17" s="3" t="n"/>
      <c r="G17" s="3" t="n"/>
      <c r="H17" s="3" t="n"/>
      <c r="I17" s="3" t="n"/>
    </row>
    <row r="18">
      <c r="A18" s="3" t="inlineStr">
        <is>
          <t>TOTAL PROJECT COST</t>
        </is>
      </c>
      <c r="B18" s="9" t="n"/>
      <c r="C18" s="3" t="n"/>
      <c r="D18" s="9" t="n"/>
      <c r="E18" s="9">
        <f>SUM(E2:E16)</f>
        <v/>
      </c>
      <c r="F18" s="3" t="n"/>
      <c r="G18" s="3" t="n"/>
      <c r="H18" s="3" t="n"/>
      <c r="I18" s="3" t="n"/>
    </row>
    <row r="19">
      <c r="A19" s="3" t="n"/>
      <c r="B19" s="9" t="n"/>
      <c r="C19" s="3" t="n"/>
      <c r="D19" s="9" t="n"/>
      <c r="E19" s="9" t="n"/>
      <c r="F19" s="3" t="n"/>
      <c r="G19" s="3" t="n"/>
      <c r="H19" s="3" t="n"/>
      <c r="I19" s="3" t="n"/>
    </row>
    <row r="20">
      <c r="A20" s="3" t="inlineStr">
        <is>
          <t>Source: dev_logs/SPARK_TRACKER.md §2.6, §1 (Actions #16,#18,#19,#32,#33,#34). Prior confirmed total ~NPR 15,004 (v22/v13); v28 added ~NPR 1,340 (Actions #32/#33); v30 adds NPR 136 arm sleeve (Action #34).</t>
        </is>
      </c>
      <c r="B20" s="4" t="n"/>
      <c r="C20" s="4" t="n"/>
      <c r="D20" s="4" t="n"/>
      <c r="E20" s="4" t="n"/>
      <c r="F20" s="4" t="n"/>
      <c r="G20" s="4" t="n"/>
      <c r="H20" s="4" t="n"/>
      <c r="I20" s="5" t="n"/>
    </row>
  </sheetData>
  <mergeCells count="5">
    <mergeCell ref="A2:I2"/>
    <mergeCell ref="A10:I10"/>
    <mergeCell ref="A14:I14"/>
    <mergeCell ref="A12:I12"/>
    <mergeCell ref="A20:I20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2026-08-05T08:39:13Z</dcterms:created>
  <dcterms:modified xmlns:dcterms="http://purl.org/dc/terms/" xmlns:xsi="http://www.w3.org/2001/XMLSchema-instance" xsi:type="dcterms:W3CDTF">2026-08-06T16:14:25Z</dcterms:modified>
  <cp:lastModifiedBy>Aaradhya</cp:lastModifiedBy>
  <cp:revision>0</cp:revision>
</cp:coreProperties>
</file>