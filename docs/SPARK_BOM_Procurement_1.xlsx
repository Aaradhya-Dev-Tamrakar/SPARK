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&amp; Procur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<sst xmlns="http://schemas.openxmlformats.org/spreadsheetml/2006/main" count="56" uniqueCount="55">
  <si>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Item</t>
  </si>
  <si>
    <t xml:space="preserve">Qty</t>
  </si>
  <si>
    <t xml:space="preserve">Vendor</t>
  </si>
  <si>
    <t xml:space="preserve">Unit Price (NPR)</t>
  </si>
  <si>
    <t xml:space="preserve">Line Total (NPR)</t>
  </si>
  <si>
    <t xml:space="preserve">Funding Source</t>
  </si>
  <si>
    <t xml:space="preserve">Status</t>
  </si>
  <si>
    <t xml:space="preserve">Action Ref</t>
  </si>
  <si>
    <t xml:space="preserve">Notes</t>
  </si>
  <si>
    <t xml:space="preserve">Wearable Node</t>
  </si>
  <si>
    <t xml:space="preserve">ESP32-S3 (WROOM-1-CAM variant)</t>
  </si>
  <si>
    <t xml:space="preserve">RoboNepal</t>
  </si>
  <si>
    <t xml:space="preserve">1 self-funded (Aaradhya) + 1 dept ask</t>
  </si>
  <si>
    <t xml:space="preserve">Ordering pending — Action #16 spare unit not yet added</t>
  </si>
  <si>
    <t xml:space="preserve">#16, #18, #19</t>
  </si>
  <si>
    <t xml:space="preserve">Add 1 spare unit at same order (bundle #16/#18/#19)</t>
  </si>
  <si>
    <t xml:space="preserve">MPU6050 IMU</t>
  </si>
  <si>
    <t xml:space="preserve">Lab-borrowed (KEC)</t>
  </si>
  <si>
    <t xml:space="preserve">Lab-borrowed, no cost</t>
  </si>
  <si>
    <t xml:space="preserve">Receipt/availability unconfirmed</t>
  </si>
  <si>
    <t xml:space="preserve">#18</t>
  </si>
  <si>
    <t xml:space="preserve">Confirm in-hand and ready for integration testing</t>
  </si>
  <si>
    <t xml:space="preserve">Lithium battery</t>
  </si>
  <si>
    <t xml:space="preserve">TBD</t>
  </si>
  <si>
    <t xml:space="preserve">Unpriced placeholder</t>
  </si>
  <si>
    <t xml:space="preserve">Sourcing not started</t>
  </si>
  <si>
    <t xml:space="preserve">—</t>
  </si>
  <si>
    <t xml:space="preserve">Not yet specified (capacity/form factor TBD)</t>
  </si>
  <si>
    <t xml:space="preserve">USB-C cable</t>
  </si>
  <si>
    <t xml:space="preserve">Self-funded</t>
  </si>
  <si>
    <t xml:space="preserve">Self-funded (Aaradhya), price unlogged</t>
  </si>
  <si>
    <t xml:space="preserve">Open — price not recorded</t>
  </si>
  <si>
    <t xml:space="preserve">#19</t>
  </si>
  <si>
    <t xml:space="preserve">Log actual price once purchased</t>
  </si>
  <si>
    <t xml:space="preserve">Enclosure (3D-printed PLA)</t>
  </si>
  <si>
    <t xml:space="preserve">KEC Makerspace (in-house)</t>
  </si>
  <si>
    <t xml:space="preserve">Material cost negligible; labor in-house</t>
  </si>
  <si>
    <t xml:space="preserve">Method resolved; form factor TBD</t>
  </si>
  <si>
    <t xml:space="preserve">#8, #11</t>
  </si>
  <si>
    <t xml:space="preserve">Form factor depends on WP1.0/2.0 fall-sim results</t>
  </si>
  <si>
    <t xml:space="preserve">Gateway</t>
  </si>
  <si>
    <t xml:space="preserve">Acer Swift Go 16 (laptop, already owned)</t>
  </si>
  <si>
    <t xml:space="preserve">Owned</t>
  </si>
  <si>
    <t xml:space="preserve">No cost</t>
  </si>
  <si>
    <t xml:space="preserve">Resolved — in hand</t>
  </si>
  <si>
    <t xml:space="preserve">#15</t>
  </si>
  <si>
    <t xml:space="preserve">Compute sufficiency confirmed vs RPi 4B (v15)</t>
  </si>
  <si>
    <t xml:space="preserve">Miscellaneous</t>
  </si>
  <si>
    <t xml:space="preserve">BLE dongle / built-in BLE</t>
  </si>
  <si>
    <t xml:space="preserve">TBD (phone app dependent)</t>
  </si>
  <si>
    <t xml:space="preserve">Unpriced</t>
  </si>
  <si>
    <t xml:space="preserve">Modality decision pending</t>
  </si>
  <si>
    <t xml:space="preserve">Depends on gateway interface design (phone app vs laptop-only)</t>
  </si>
  <si>
    <t xml:space="preserve">TOTAL PROJECT COST</t>
  </si>
  <si>
    <t xml:space="preserve">Source: dev_logs/SPARK_TRACKER.md §2.6, §1 (Actions #16,#18,#19). Prior confirmed total ~NPR 15,004 (v22/v13).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</si>
</sst>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&quot; NPR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9D9D9"/>
        <bgColor rgb="FFD9EAD3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3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/>
      <c r="C2" s="2"/>
      <c r="D2" s="2"/>
      <c r="E2" s="2"/>
      <c r="F2" s="2"/>
      <c r="G2" s="2"/>
      <c r="H2" s="2"/>
      <c r="I2" s="2"/>
    </row>
    <row r="3" customFormat="false" ht="23.85" hidden="false" customHeight="false" outlineLevel="0" collapsed="false">
      <c r="A3" s="3" t="s">
        <v>10</v>
      </c>
      <c r="B3" s="3" t="n">
        <v>2</v>
      </c>
      <c r="C3" s="3" t="s">
        <v>11</v>
      </c>
      <c r="D3" s="4" t="n">
        <v>1979</v>
      </c>
      <c r="E3" s="4" t="n">
        <f aca="false">B3*D3</f>
        <v>3958</v>
      </c>
      <c r="F3" s="3" t="s">
        <v>12</v>
      </c>
      <c r="G3" s="5" t="s">
        <v>13</v>
      </c>
      <c r="H3" s="3" t="s">
        <v>14</v>
      </c>
      <c r="I3" s="3" t="s">
        <v>15</v>
      </c>
    </row>
    <row r="4" customFormat="false" ht="23.85" hidden="false" customHeight="false" outlineLevel="0" collapsed="false">
      <c r="A4" s="3" t="s">
        <v>16</v>
      </c>
      <c r="B4" s="3" t="n">
        <v>1</v>
      </c>
      <c r="C4" s="3" t="s">
        <v>17</v>
      </c>
      <c r="D4" s="4" t="n">
        <v>0</v>
      </c>
      <c r="E4" s="4" t="n">
        <f aca="false">B4*D4</f>
        <v>0</v>
      </c>
      <c r="F4" s="3" t="s">
        <v>18</v>
      </c>
      <c r="G4" s="5" t="s">
        <v>19</v>
      </c>
      <c r="H4" s="3" t="s">
        <v>20</v>
      </c>
      <c r="I4" s="3" t="s">
        <v>21</v>
      </c>
    </row>
    <row r="5" customFormat="false" ht="15" hidden="false" customHeight="false" outlineLevel="0" collapsed="false">
      <c r="A5" s="3" t="s">
        <v>22</v>
      </c>
      <c r="B5" s="3" t="n">
        <v>1</v>
      </c>
      <c r="C5" s="3" t="s">
        <v>23</v>
      </c>
      <c r="D5" s="4" t="n">
        <v>0</v>
      </c>
      <c r="E5" s="4" t="n">
        <f aca="false">B5*D5</f>
        <v>0</v>
      </c>
      <c r="F5" s="3" t="s">
        <v>24</v>
      </c>
      <c r="G5" s="5" t="s">
        <v>25</v>
      </c>
      <c r="H5" s="3" t="s">
        <v>26</v>
      </c>
      <c r="I5" s="3" t="s">
        <v>27</v>
      </c>
    </row>
    <row r="6" customFormat="false" ht="23.85" hidden="false" customHeight="false" outlineLevel="0" collapsed="false">
      <c r="A6" s="3" t="s">
        <v>28</v>
      </c>
      <c r="B6" s="3" t="n">
        <v>1</v>
      </c>
      <c r="C6" s="3" t="s">
        <v>29</v>
      </c>
      <c r="D6" s="4" t="n">
        <v>0</v>
      </c>
      <c r="E6" s="4" t="n">
        <f aca="false">B6*D6</f>
        <v>0</v>
      </c>
      <c r="F6" s="3" t="s">
        <v>30</v>
      </c>
      <c r="G6" s="5" t="s">
        <v>31</v>
      </c>
      <c r="H6" s="3" t="s">
        <v>32</v>
      </c>
      <c r="I6" s="3" t="s">
        <v>33</v>
      </c>
    </row>
    <row r="7" customFormat="false" ht="23.85" hidden="false" customHeight="false" outlineLevel="0" collapsed="false">
      <c r="A7" s="3" t="s">
        <v>34</v>
      </c>
      <c r="B7" s="3" t="n">
        <v>1</v>
      </c>
      <c r="C7" s="3" t="s">
        <v>35</v>
      </c>
      <c r="D7" s="4" t="n">
        <v>0</v>
      </c>
      <c r="E7" s="4" t="n">
        <f aca="false">B7*D7</f>
        <v>0</v>
      </c>
      <c r="F7" s="3" t="s">
        <v>36</v>
      </c>
      <c r="G7" s="5" t="s">
        <v>37</v>
      </c>
      <c r="H7" s="3" t="s">
        <v>38</v>
      </c>
      <c r="I7" s="3" t="s">
        <v>39</v>
      </c>
    </row>
    <row r="8" customFormat="false" ht="15" hidden="false" customHeight="false" outlineLevel="0" collapsed="false">
      <c r="A8" s="2" t="s">
        <v>40</v>
      </c>
      <c r="B8" s="2"/>
      <c r="C8" s="2"/>
      <c r="D8" s="2"/>
      <c r="E8" s="2"/>
      <c r="F8" s="2"/>
      <c r="G8" s="2"/>
      <c r="H8" s="2"/>
      <c r="I8" s="2"/>
    </row>
    <row r="9" customFormat="false" ht="23.85" hidden="false" customHeight="false" outlineLevel="0" collapsed="false">
      <c r="A9" s="3" t="s">
        <v>41</v>
      </c>
      <c r="B9" s="3" t="n">
        <v>1</v>
      </c>
      <c r="C9" s="3" t="s">
        <v>42</v>
      </c>
      <c r="D9" s="4" t="n">
        <v>0</v>
      </c>
      <c r="E9" s="4" t="n">
        <f aca="false">B9*D9</f>
        <v>0</v>
      </c>
      <c r="F9" s="3" t="s">
        <v>43</v>
      </c>
      <c r="G9" s="6" t="s">
        <v>44</v>
      </c>
      <c r="H9" s="3" t="s">
        <v>45</v>
      </c>
      <c r="I9" s="3" t="s">
        <v>46</v>
      </c>
    </row>
    <row r="10" customFormat="false" ht="15" hidden="false" customHeight="false" outlineLevel="0" collapsed="false">
      <c r="A10" s="2" t="s">
        <v>47</v>
      </c>
      <c r="B10" s="2"/>
      <c r="C10" s="2"/>
      <c r="D10" s="2"/>
      <c r="E10" s="2"/>
      <c r="F10" s="2"/>
      <c r="G10" s="2"/>
      <c r="H10" s="2"/>
      <c r="I10" s="2"/>
    </row>
    <row r="11" customFormat="false" ht="23.85" hidden="false" customHeight="false" outlineLevel="0" collapsed="false">
      <c r="A11" s="3" t="s">
        <v>48</v>
      </c>
      <c r="B11" s="3" t="n">
        <v>1</v>
      </c>
      <c r="C11" s="3" t="s">
        <v>49</v>
      </c>
      <c r="D11" s="4" t="n">
        <v>0</v>
      </c>
      <c r="E11" s="4" t="n">
        <f aca="false">B11*D11</f>
        <v>0</v>
      </c>
      <c r="F11" s="3" t="s">
        <v>50</v>
      </c>
      <c r="G11" s="5" t="s">
        <v>51</v>
      </c>
      <c r="H11" s="3" t="s">
        <v>26</v>
      </c>
      <c r="I11" s="3" t="s">
        <v>52</v>
      </c>
    </row>
    <row r="13" customFormat="false" ht="15" hidden="false" customHeight="false" outlineLevel="0" collapsed="false">
      <c r="A13" s="7" t="s">
        <v>53</v>
      </c>
      <c r="B13" s="8"/>
      <c r="C13" s="8"/>
      <c r="D13" s="8"/>
      <c r="E13" s="9" t="n">
        <f aca="false">SUM(E2:E11)</f>
        <v>3958</v>
      </c>
    </row>
    <row r="15" customFormat="false" ht="15" hidden="false" customHeight="false" outlineLevel="0" collapsed="false">
      <c r="A15" s="10" t="s">
        <v>54</v>
      </c>
      <c r="B15" s="10"/>
      <c r="C15" s="10"/>
      <c r="D15" s="10"/>
      <c r="E15" s="10"/>
      <c r="F15" s="10"/>
      <c r="G15" s="10"/>
      <c r="H15" s="10"/>
      <c r="I15" s="10"/>
    </row>
  </sheetData>
  <mergeCells count="4">
    <mergeCell ref="A2:I2"/>
    <mergeCell ref="A8:I8"/>
    <mergeCell ref="A10:I10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2026-08-05T08:39:13Z</dcterms:created>
  <dc:creator>openpyxl</dc:creator>
  <dc:description/>
  <dc:language>en-US</dc:language>
  <cp:lastModifiedBy/>
  <dcterms:modified xsi:type="dcterms:W3CDTF">2026-08-05T08:39:13Z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